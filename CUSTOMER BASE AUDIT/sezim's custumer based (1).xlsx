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iles" sheetId="1" r:id="rId5"/>
    <sheet state="visible" name="COHORT" sheetId="2" r:id="rId6"/>
    <sheet state="visible" name="C. ANALYSIS" sheetId="3" r:id="rId7"/>
    <sheet state="visible" name="D. ANALYSIS" sheetId="4" r:id="rId8"/>
    <sheet state="visible" name="synopsis" sheetId="5" r:id="rId9"/>
  </sheets>
  <definedNames/>
  <calcPr/>
</workbook>
</file>

<file path=xl/sharedStrings.xml><?xml version="1.0" encoding="utf-8"?>
<sst xmlns="http://schemas.openxmlformats.org/spreadsheetml/2006/main" count="169" uniqueCount="58">
  <si>
    <t>Decile</t>
  </si>
  <si>
    <t># Customers</t>
  </si>
  <si>
    <t>Total Transactions</t>
  </si>
  <si>
    <t>Revenue</t>
  </si>
  <si>
    <t>Profit</t>
  </si>
  <si>
    <t>Average revenue per customer</t>
  </si>
  <si>
    <t>Average profit per customer</t>
  </si>
  <si>
    <t>AOF AVerage order frequency</t>
  </si>
  <si>
    <t>Order Value</t>
  </si>
  <si>
    <t>Average Margin</t>
  </si>
  <si>
    <t>TOTAL</t>
  </si>
  <si>
    <t>Cummulative Revenue</t>
  </si>
  <si>
    <t>Cummulative Profit</t>
  </si>
  <si>
    <t>Grouped AOF</t>
  </si>
  <si>
    <t>SUM of % Customers</t>
  </si>
  <si>
    <t>0.0 - 1.4</t>
  </si>
  <si>
    <t>1.4- 2.7</t>
  </si>
  <si>
    <t>2.7 - 4.0</t>
  </si>
  <si>
    <t>4.0-6.0</t>
  </si>
  <si>
    <t>Grand Total</t>
  </si>
  <si>
    <t>Quarter</t>
  </si>
  <si>
    <t>% active</t>
  </si>
  <si>
    <t>Avg spend/active customer</t>
  </si>
  <si>
    <t>AOF</t>
  </si>
  <si>
    <t>AOV</t>
  </si>
  <si>
    <t>2021Q1</t>
  </si>
  <si>
    <t>2021Q2</t>
  </si>
  <si>
    <t>2021Q3</t>
  </si>
  <si>
    <t>2021Q4</t>
  </si>
  <si>
    <t>2022Q1</t>
  </si>
  <si>
    <t>2022Q2</t>
  </si>
  <si>
    <t>2022Q3</t>
  </si>
  <si>
    <t>2022Q4</t>
  </si>
  <si>
    <t>2023Q1</t>
  </si>
  <si>
    <t>2023Q2</t>
  </si>
  <si>
    <t>2023Q3</t>
  </si>
  <si>
    <t>2023Q4</t>
  </si>
  <si>
    <t>2024Q1</t>
  </si>
  <si>
    <t>2024Q2</t>
  </si>
  <si>
    <t>2024Q3</t>
  </si>
  <si>
    <t>2024Q4</t>
  </si>
  <si>
    <t>Q3 2021</t>
  </si>
  <si>
    <t>Q4 2021</t>
  </si>
  <si>
    <t>Q4 2022</t>
  </si>
  <si>
    <t>Revenue of Q32021</t>
  </si>
  <si>
    <t>Profit of Q32021</t>
  </si>
  <si>
    <t>Revenue of Q42021</t>
  </si>
  <si>
    <t>Profit of Q42021</t>
  </si>
  <si>
    <t>Revenue  of Q42022</t>
  </si>
  <si>
    <t>Profit of Q42022</t>
  </si>
  <si>
    <t># Transactions</t>
  </si>
  <si>
    <t># Revenue</t>
  </si>
  <si>
    <t># Profit</t>
  </si>
  <si>
    <t>% Customers</t>
  </si>
  <si>
    <t>Avg spend/cust</t>
  </si>
  <si>
    <t>Pre-2021</t>
  </si>
  <si>
    <t>Total</t>
  </si>
  <si>
    <t>Synopsis of Customer-Based Decile Analysis This dataset analyzes customer performance by dividing all customers into ten groups called deciles, where each group represents about 10% of the total customer base. This method helps understand how different customer segments contribute to revenue and overall business performance. The results show that customers in the top deciles generate the highest revenue. The first decile contributes the largest share of total revenue, which means these customers purchase more frequently and spend more money. As we move from Decile 1 to Decile 10, revenue gradually decreases, indicating that lower decile customers are less active and spend less. The analysis also looks at Average Order Frequency (AOF), which shows how often customers make purchases. Customers with higher AOF tend to generate more revenue and are therefore more valuable for the business. Most customers fall into the lower AOF groups, while only a smaller percentage of customers purchase very frequently. Overall, the analysis shows that a small group of customers creates a large portion of total revenue. This insight is important for businesses because it helps identify the most valuable customers and supports better marketing and customer retention strategies.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</si>
</sst>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
    <numFmt numFmtId="166" formatCode="#,##0.000"/>
    <numFmt numFmtId="167" formatCode="&quot;$&quot;#,##0.00"/>
    <numFmt numFmtId="168" formatCode="#,##0.0"/>
  </numFmts>
  <fonts count="8">
    <font>
      <sz val="10.0"/>
      <color rgb="FF000000"/>
      <name val="Arial"/>
      <scheme val="minor"/>
    </font>
    <font>
      <sz val="11.0"/>
      <color theme="1"/>
      <name val="Calibri"/>
    </font>
    <font>
      <color theme="1"/>
      <name val="Arial"/>
    </font>
    <font>
      <color theme="1"/>
      <name val="Arial"/>
      <scheme val="minor"/>
    </font>
    <font>
      <i/>
      <color theme="1"/>
      <name val="Arial"/>
    </font>
    <font>
      <color rgb="FFFFFFFF"/>
      <name val="Arial"/>
    </font>
    <font>
      <b/>
      <color theme="1"/>
      <name val="Arial"/>
    </font>
    <font>
      <b/>
      <sz val="11.0"/>
      <color rgb="FFFF9900"/>
      <name val="Calibri"/>
    </font>
  </fonts>
  <fills count="16">
    <fill>
      <patternFill patternType="none"/>
    </fill>
    <fill>
      <patternFill patternType="lightGray"/>
    </fill>
    <fill>
      <patternFill patternType="solid">
        <fgColor rgb="FF45818E"/>
        <bgColor rgb="FF45818E"/>
      </patternFill>
    </fill>
    <fill>
      <patternFill patternType="solid">
        <fgColor rgb="FF9FC5E8"/>
        <bgColor rgb="FF9FC5E8"/>
      </patternFill>
    </fill>
    <fill>
      <patternFill patternType="solid">
        <fgColor rgb="FFA2C4C9"/>
        <bgColor rgb="FFA2C4C9"/>
      </patternFill>
    </fill>
    <fill>
      <patternFill patternType="solid">
        <fgColor rgb="FFD0E0E3"/>
        <bgColor rgb="FFD0E0E3"/>
      </patternFill>
    </fill>
    <fill>
      <patternFill patternType="solid">
        <fgColor rgb="FFB4A7D6"/>
        <bgColor rgb="FFB4A7D6"/>
      </patternFill>
    </fill>
    <fill>
      <patternFill patternType="solid">
        <fgColor rgb="FFDFE4EC"/>
        <bgColor rgb="FFDFE4EC"/>
      </patternFill>
    </fill>
    <fill>
      <patternFill patternType="solid">
        <fgColor rgb="FF8093B3"/>
        <bgColor rgb="FF8093B3"/>
      </patternFill>
    </fill>
    <fill>
      <patternFill patternType="solid">
        <fgColor rgb="FFF4F6F8"/>
        <bgColor rgb="FFF4F6F8"/>
      </patternFill>
    </fill>
    <fill>
      <patternFill patternType="solid">
        <fgColor rgb="FFFFFFFF"/>
        <bgColor rgb="FFFFFFFF"/>
      </patternFill>
    </fill>
    <fill>
      <patternFill patternType="solid">
        <fgColor rgb="FFD9EAD3"/>
        <bgColor rgb="FFD9EAD3"/>
      </patternFill>
    </fill>
    <fill>
      <patternFill patternType="solid">
        <fgColor rgb="FFB6D7A8"/>
        <bgColor rgb="FFB6D7A8"/>
      </patternFill>
    </fill>
    <fill>
      <patternFill patternType="solid">
        <fgColor rgb="FFF1C232"/>
        <bgColor rgb="FFF1C232"/>
      </patternFill>
    </fill>
    <fill>
      <patternFill patternType="solid">
        <fgColor rgb="FFFFD966"/>
        <bgColor rgb="FFFFD966"/>
      </patternFill>
    </fill>
    <fill>
      <patternFill patternType="solid">
        <fgColor rgb="FFFFFF00"/>
        <bgColor rgb="FFFFFF00"/>
      </patternFill>
    </fill>
  </fills>
  <borders count="6">
    <border/>
    <border>
      <left style="thin">
        <color rgb="FF000000"/>
      </left>
      <right style="thin">
        <color rgb="FF000000"/>
      </right>
      <top style="thin">
        <color rgb="FF000000"/>
      </top>
      <bottom style="thin">
        <color rgb="FF000000"/>
      </bottom>
    </border>
    <border>
      <bottom style="thick">
        <color rgb="FF8093B3"/>
      </bottom>
    </border>
    <border>
      <right style="thin">
        <color rgb="FFFFFFFF"/>
      </right>
    </border>
    <border>
      <top style="double">
        <color rgb="FF000000"/>
      </top>
    </border>
    <border>
      <left/>
      <right/>
      <top/>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1"/>
    </xf>
    <xf borderId="1" fillId="2" fontId="1" numFmtId="10" xfId="0" applyAlignment="1" applyBorder="1" applyFont="1" applyNumberFormat="1">
      <alignment horizontal="right" shrinkToFit="0" vertical="bottom" wrapText="1"/>
    </xf>
    <xf borderId="1" fillId="3" fontId="2" numFmtId="0" xfId="0" applyAlignment="1" applyBorder="1" applyFill="1" applyFont="1">
      <alignment shrinkToFit="0" vertical="bottom" wrapText="1"/>
    </xf>
    <xf borderId="1" fillId="3" fontId="2" numFmtId="164" xfId="0" applyAlignment="1" applyBorder="1" applyFont="1" applyNumberFormat="1">
      <alignment shrinkToFit="0" vertical="bottom" wrapText="1"/>
    </xf>
    <xf borderId="1" fillId="3" fontId="2" numFmtId="0" xfId="0" applyAlignment="1" applyBorder="1" applyFont="1">
      <alignment readingOrder="0" shrinkToFit="0" vertical="bottom" wrapText="1"/>
    </xf>
    <xf borderId="1" fillId="4" fontId="1" numFmtId="0" xfId="0" applyAlignment="1" applyBorder="1" applyFill="1" applyFont="1">
      <alignment horizontal="right" vertical="bottom"/>
    </xf>
    <xf borderId="1" fillId="4" fontId="1" numFmtId="3" xfId="0" applyAlignment="1" applyBorder="1" applyFont="1" applyNumberFormat="1">
      <alignment horizontal="right" vertical="bottom"/>
    </xf>
    <xf borderId="1" fillId="5" fontId="3" numFmtId="165" xfId="0" applyBorder="1" applyFill="1" applyFont="1" applyNumberFormat="1"/>
    <xf borderId="1" fillId="6" fontId="3" numFmtId="166" xfId="0" applyBorder="1" applyFill="1" applyFont="1" applyNumberFormat="1"/>
    <xf borderId="1" fillId="6" fontId="3" numFmtId="0" xfId="0" applyBorder="1" applyFont="1"/>
    <xf borderId="1" fillId="6" fontId="3" numFmtId="164" xfId="0" applyBorder="1" applyFont="1" applyNumberFormat="1"/>
    <xf borderId="1" fillId="6" fontId="3" numFmtId="167" xfId="0" applyBorder="1" applyFont="1" applyNumberFormat="1"/>
    <xf borderId="1" fillId="6" fontId="3" numFmtId="9" xfId="0" applyBorder="1" applyFont="1" applyNumberFormat="1"/>
    <xf borderId="1" fillId="2" fontId="1" numFmtId="0" xfId="0" applyAlignment="1" applyBorder="1" applyFont="1">
      <alignment vertical="bottom"/>
    </xf>
    <xf borderId="1" fillId="2" fontId="1" numFmtId="3" xfId="0" applyAlignment="1" applyBorder="1" applyFont="1" applyNumberFormat="1">
      <alignment horizontal="right" vertical="bottom"/>
    </xf>
    <xf borderId="1" fillId="2" fontId="3" numFmtId="165" xfId="0" applyBorder="1" applyFont="1" applyNumberFormat="1"/>
    <xf borderId="0" fillId="0" fontId="3" numFmtId="0" xfId="0" applyAlignment="1" applyFont="1">
      <alignment readingOrder="0"/>
    </xf>
    <xf borderId="2" fillId="7" fontId="4" numFmtId="0" xfId="0" applyAlignment="1" applyBorder="1" applyFill="1" applyFont="1">
      <alignment horizontal="center" shrinkToFit="0" wrapText="1"/>
    </xf>
    <xf borderId="2" fillId="8" fontId="5" numFmtId="0" xfId="0" applyAlignment="1" applyBorder="1" applyFill="1" applyFont="1">
      <alignment horizontal="center" shrinkToFit="0" wrapText="1"/>
    </xf>
    <xf borderId="0" fillId="0" fontId="3" numFmtId="165" xfId="0" applyFont="1" applyNumberFormat="1"/>
    <xf borderId="1" fillId="6" fontId="3" numFmtId="168" xfId="0" applyBorder="1" applyFont="1" applyNumberFormat="1"/>
    <xf borderId="3" fillId="9" fontId="2" numFmtId="4" xfId="0" applyAlignment="1" applyBorder="1" applyFill="1" applyFont="1" applyNumberFormat="1">
      <alignment horizontal="center" readingOrder="0"/>
    </xf>
    <xf borderId="0" fillId="10" fontId="2" numFmtId="4" xfId="0" applyAlignment="1" applyFill="1" applyFont="1" applyNumberFormat="1">
      <alignment horizontal="center"/>
    </xf>
    <xf borderId="4" fillId="7" fontId="6" numFmtId="4" xfId="0" applyAlignment="1" applyBorder="1" applyFont="1" applyNumberFormat="1">
      <alignment horizontal="center"/>
    </xf>
    <xf borderId="1" fillId="10" fontId="3" numFmtId="164" xfId="0" applyBorder="1" applyFont="1" applyNumberFormat="1"/>
    <xf borderId="1" fillId="11" fontId="1" numFmtId="0" xfId="0" applyAlignment="1" applyBorder="1" applyFill="1" applyFont="1">
      <alignment horizontal="right" shrinkToFit="0" vertical="bottom" wrapText="1"/>
    </xf>
    <xf borderId="1" fillId="11" fontId="1" numFmtId="10" xfId="0" applyAlignment="1" applyBorder="1" applyFont="1" applyNumberFormat="1">
      <alignment horizontal="right" shrinkToFit="0" vertical="bottom" wrapText="1"/>
    </xf>
    <xf borderId="1" fillId="11" fontId="1" numFmtId="1" xfId="0" applyAlignment="1" applyBorder="1" applyFont="1" applyNumberFormat="1">
      <alignment horizontal="right" shrinkToFit="0" vertical="bottom" wrapText="1"/>
    </xf>
    <xf borderId="1" fillId="11" fontId="1" numFmtId="164" xfId="0" applyAlignment="1" applyBorder="1" applyFont="1" applyNumberFormat="1">
      <alignment horizontal="right" shrinkToFit="0" vertical="bottom" wrapText="1"/>
    </xf>
    <xf borderId="1" fillId="12" fontId="1" numFmtId="0" xfId="0" applyAlignment="1" applyBorder="1" applyFill="1" applyFont="1">
      <alignment horizontal="right" vertical="bottom"/>
    </xf>
    <xf borderId="1" fillId="12" fontId="1" numFmtId="3" xfId="0" applyAlignment="1" applyBorder="1" applyFont="1" applyNumberFormat="1">
      <alignment horizontal="right" vertical="bottom"/>
    </xf>
    <xf borderId="1" fillId="12" fontId="2" numFmtId="10" xfId="0" applyAlignment="1" applyBorder="1" applyFont="1" applyNumberFormat="1">
      <alignment horizontal="right" vertical="bottom"/>
    </xf>
    <xf borderId="1" fillId="12" fontId="3" numFmtId="164" xfId="0" applyBorder="1" applyFont="1" applyNumberFormat="1"/>
    <xf borderId="1" fillId="12" fontId="3" numFmtId="2" xfId="0" applyBorder="1" applyFont="1" applyNumberFormat="1"/>
    <xf borderId="0" fillId="0" fontId="3" numFmtId="164" xfId="0" applyFont="1" applyNumberFormat="1"/>
    <xf borderId="0" fillId="10" fontId="7" numFmtId="3" xfId="0" applyAlignment="1" applyFont="1" applyNumberFormat="1">
      <alignment horizontal="center" vertical="bottom"/>
    </xf>
    <xf borderId="0" fillId="10" fontId="2" numFmtId="3" xfId="0" applyAlignment="1" applyFont="1" applyNumberFormat="1">
      <alignment vertical="bottom"/>
    </xf>
    <xf borderId="0" fillId="10" fontId="2" numFmtId="9" xfId="0" applyAlignment="1" applyFont="1" applyNumberFormat="1">
      <alignment vertical="bottom"/>
    </xf>
    <xf borderId="0" fillId="10" fontId="2" numFmtId="168" xfId="0" applyAlignment="1" applyFont="1" applyNumberFormat="1">
      <alignment vertical="bottom"/>
    </xf>
    <xf borderId="0" fillId="10" fontId="2" numFmtId="4" xfId="0" applyAlignment="1" applyFont="1" applyNumberFormat="1">
      <alignment vertical="bottom"/>
    </xf>
    <xf borderId="1" fillId="13" fontId="1" numFmtId="3" xfId="0" applyAlignment="1" applyBorder="1" applyFill="1" applyFont="1" applyNumberFormat="1">
      <alignment horizontal="right" shrinkToFit="0" vertical="bottom" wrapText="1"/>
    </xf>
    <xf borderId="1" fillId="13" fontId="1" numFmtId="9" xfId="0" applyAlignment="1" applyBorder="1" applyFont="1" applyNumberFormat="1">
      <alignment shrinkToFit="0" vertical="bottom" wrapText="1"/>
    </xf>
    <xf borderId="1" fillId="13" fontId="1" numFmtId="3" xfId="0" applyAlignment="1" applyBorder="1" applyFont="1" applyNumberFormat="1">
      <alignment shrinkToFit="0" vertical="bottom" wrapText="1"/>
    </xf>
    <xf borderId="1" fillId="13" fontId="1" numFmtId="168" xfId="0" applyAlignment="1" applyBorder="1" applyFont="1" applyNumberFormat="1">
      <alignment shrinkToFit="0" vertical="bottom" wrapText="1"/>
    </xf>
    <xf borderId="1" fillId="13" fontId="1" numFmtId="4" xfId="0" applyAlignment="1" applyBorder="1" applyFont="1" applyNumberFormat="1">
      <alignment shrinkToFit="0" vertical="bottom" wrapText="1"/>
    </xf>
    <xf borderId="1" fillId="14" fontId="1" numFmtId="3" xfId="0" applyAlignment="1" applyBorder="1" applyFill="1" applyFont="1" applyNumberFormat="1">
      <alignment horizontal="right" vertical="bottom"/>
    </xf>
    <xf borderId="1" fillId="14" fontId="2" numFmtId="9" xfId="0" applyAlignment="1" applyBorder="1" applyFont="1" applyNumberFormat="1">
      <alignment horizontal="right" vertical="bottom"/>
    </xf>
    <xf borderId="1" fillId="14" fontId="2" numFmtId="3" xfId="0" applyAlignment="1" applyBorder="1" applyFont="1" applyNumberFormat="1">
      <alignment horizontal="right" vertical="bottom"/>
    </xf>
    <xf borderId="1" fillId="14" fontId="2" numFmtId="168" xfId="0" applyAlignment="1" applyBorder="1" applyFont="1" applyNumberFormat="1">
      <alignment horizontal="right" vertical="bottom"/>
    </xf>
    <xf borderId="1" fillId="14" fontId="2" numFmtId="3" xfId="0" applyAlignment="1" applyBorder="1" applyFont="1" applyNumberFormat="1">
      <alignment vertical="bottom"/>
    </xf>
    <xf borderId="1" fillId="14" fontId="2" numFmtId="9" xfId="0" applyAlignment="1" applyBorder="1" applyFont="1" applyNumberFormat="1">
      <alignment vertical="bottom"/>
    </xf>
    <xf borderId="1" fillId="14" fontId="2" numFmtId="168" xfId="0" applyAlignment="1" applyBorder="1" applyFont="1" applyNumberFormat="1">
      <alignment vertical="bottom"/>
    </xf>
    <xf borderId="1" fillId="14" fontId="2" numFmtId="4" xfId="0" applyAlignment="1" applyBorder="1" applyFont="1" applyNumberFormat="1">
      <alignment vertical="bottom"/>
    </xf>
    <xf borderId="1" fillId="14" fontId="1" numFmtId="9" xfId="0" applyAlignment="1" applyBorder="1" applyFont="1" applyNumberFormat="1">
      <alignment horizontal="right" vertical="bottom"/>
    </xf>
    <xf borderId="1" fillId="14" fontId="1" numFmtId="4" xfId="0" applyAlignment="1" applyBorder="1" applyFont="1" applyNumberFormat="1">
      <alignment horizontal="right" vertical="bottom"/>
    </xf>
    <xf borderId="1" fillId="14" fontId="1" numFmtId="168" xfId="0" applyAlignment="1" applyBorder="1" applyFont="1" applyNumberFormat="1">
      <alignment horizontal="right" vertical="bottom"/>
    </xf>
    <xf borderId="0" fillId="10" fontId="3" numFmtId="3" xfId="0" applyFont="1" applyNumberFormat="1"/>
    <xf borderId="1" fillId="10" fontId="1" numFmtId="3" xfId="0" applyAlignment="1" applyBorder="1" applyFont="1" applyNumberFormat="1">
      <alignment horizontal="right" shrinkToFit="0" vertical="bottom" wrapText="1"/>
    </xf>
    <xf borderId="1" fillId="0" fontId="1" numFmtId="10" xfId="0" applyAlignment="1" applyBorder="1" applyFont="1" applyNumberFormat="1">
      <alignment horizontal="right" vertical="bottom"/>
    </xf>
    <xf borderId="1" fillId="0" fontId="1" numFmtId="0" xfId="0" applyAlignment="1" applyBorder="1" applyFont="1">
      <alignment horizontal="right" vertical="bottom"/>
    </xf>
    <xf borderId="1" fillId="0" fontId="1" numFmtId="168" xfId="0" applyAlignment="1" applyBorder="1" applyFont="1" applyNumberFormat="1">
      <alignment horizontal="right" vertical="bottom"/>
    </xf>
    <xf borderId="1" fillId="0" fontId="1" numFmtId="3" xfId="0" applyAlignment="1" applyBorder="1" applyFont="1" applyNumberFormat="1">
      <alignment horizontal="right" vertical="bottom"/>
    </xf>
    <xf borderId="1" fillId="10" fontId="1" numFmtId="3" xfId="0" applyAlignment="1" applyBorder="1" applyFont="1" applyNumberFormat="1">
      <alignment horizontal="right" vertical="bottom"/>
    </xf>
    <xf borderId="1" fillId="10" fontId="2" numFmtId="9" xfId="0" applyAlignment="1" applyBorder="1" applyFont="1" applyNumberFormat="1">
      <alignment horizontal="right" vertical="bottom"/>
    </xf>
    <xf borderId="1" fillId="10" fontId="2" numFmtId="9" xfId="0" applyAlignment="1" applyBorder="1" applyFont="1" applyNumberFormat="1">
      <alignment vertical="bottom"/>
    </xf>
    <xf borderId="1" fillId="10" fontId="2" numFmtId="3" xfId="0" applyAlignment="1" applyBorder="1" applyFont="1" applyNumberFormat="1">
      <alignment horizontal="right" vertical="bottom"/>
    </xf>
    <xf borderId="1" fillId="10" fontId="2" numFmtId="3" xfId="0" applyAlignment="1" applyBorder="1" applyFont="1" applyNumberFormat="1">
      <alignment vertical="bottom"/>
    </xf>
    <xf borderId="1" fillId="10" fontId="2" numFmtId="168" xfId="0" applyAlignment="1" applyBorder="1" applyFont="1" applyNumberFormat="1">
      <alignment horizontal="right" vertical="bottom"/>
    </xf>
    <xf borderId="1" fillId="10" fontId="2" numFmtId="168" xfId="0" applyAlignment="1" applyBorder="1" applyFont="1" applyNumberFormat="1">
      <alignment vertical="bottom"/>
    </xf>
    <xf borderId="5" fillId="15" fontId="1" numFmtId="0" xfId="0" applyAlignment="1" applyBorder="1" applyFill="1" applyFont="1">
      <alignment vertical="bottom"/>
    </xf>
    <xf borderId="5" fillId="15" fontId="2" numFmtId="0" xfId="0" applyAlignment="1" applyBorder="1" applyFont="1">
      <alignment vertical="bottom"/>
    </xf>
    <xf borderId="1" fillId="15" fontId="1" numFmtId="0" xfId="0" applyAlignment="1" applyBorder="1" applyFont="1">
      <alignment vertical="bottom"/>
    </xf>
    <xf borderId="1" fillId="15" fontId="2" numFmtId="0" xfId="0" applyAlignment="1" applyBorder="1" applyFont="1">
      <alignment vertical="bottom"/>
    </xf>
    <xf borderId="1" fillId="0" fontId="1" numFmtId="0" xfId="0" applyAlignment="1" applyBorder="1" applyFont="1">
      <alignment horizontal="center"/>
    </xf>
    <xf borderId="1" fillId="0" fontId="2" numFmtId="0" xfId="0" applyAlignment="1" applyBorder="1" applyFont="1">
      <alignment horizontal="center"/>
    </xf>
    <xf borderId="1" fillId="0" fontId="1" numFmtId="10" xfId="0" applyAlignment="1" applyBorder="1" applyFont="1" applyNumberFormat="1">
      <alignment horizontal="center"/>
    </xf>
    <xf borderId="1" fillId="10" fontId="2" numFmtId="0" xfId="0" applyAlignment="1" applyBorder="1" applyFont="1">
      <alignment vertical="bottom"/>
    </xf>
    <xf borderId="1" fillId="10" fontId="1" numFmtId="0" xfId="0" applyAlignment="1" applyBorder="1" applyFont="1">
      <alignment horizontal="right" vertical="bottom"/>
    </xf>
    <xf borderId="1" fillId="10" fontId="1" numFmtId="3" xfId="0" applyAlignment="1" applyBorder="1" applyFont="1" applyNumberFormat="1">
      <alignment horizontal="center"/>
    </xf>
    <xf borderId="1" fillId="10" fontId="1" numFmtId="4" xfId="0" applyAlignment="1" applyBorder="1" applyFont="1" applyNumberFormat="1">
      <alignment horizontal="center"/>
    </xf>
    <xf borderId="1" fillId="0" fontId="2" numFmtId="9" xfId="0" applyAlignment="1" applyBorder="1" applyFont="1" applyNumberFormat="1">
      <alignment horizontal="center"/>
    </xf>
    <xf borderId="1" fillId="10" fontId="2" numFmtId="4" xfId="0" applyAlignment="1" applyBorder="1" applyFont="1" applyNumberFormat="1">
      <alignment horizontal="center"/>
    </xf>
    <xf borderId="0" fillId="0" fontId="2" numFmtId="0" xfId="0" applyAlignment="1" applyFont="1">
      <alignment vertical="bottom"/>
    </xf>
    <xf borderId="1" fillId="0" fontId="2" numFmtId="10" xfId="0" applyAlignment="1" applyBorder="1" applyFont="1" applyNumberFormat="1">
      <alignment horizontal="center"/>
    </xf>
    <xf borderId="1" fillId="0" fontId="2" numFmtId="0" xfId="0" applyAlignment="1" applyBorder="1" applyFont="1">
      <alignment vertical="bottom"/>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and Profit</a:t>
            </a:r>
          </a:p>
        </c:rich>
      </c:tx>
      <c:overlay val="0"/>
    </c:title>
    <c:plotArea>
      <c:layout/>
      <c:lineChart>
        <c:ser>
          <c:idx val="0"/>
          <c:order val="0"/>
          <c:tx>
            <c:strRef>
              <c:f>deciles!$F$17</c:f>
            </c:strRef>
          </c:tx>
          <c:spPr>
            <a:ln cmpd="sng">
              <a:solidFill>
                <a:srgbClr val="4285F4"/>
              </a:solidFill>
            </a:ln>
          </c:spPr>
          <c:marker>
            <c:symbol val="none"/>
          </c:marker>
          <c:cat>
            <c:strRef>
              <c:f>deciles!$E$18:$E$27</c:f>
            </c:strRef>
          </c:cat>
          <c:val>
            <c:numRef>
              <c:f>deciles!$F$18:$F$27</c:f>
              <c:numCache/>
            </c:numRef>
          </c:val>
          <c:smooth val="0"/>
        </c:ser>
        <c:ser>
          <c:idx val="1"/>
          <c:order val="1"/>
          <c:tx>
            <c:strRef>
              <c:f>deciles!$G$17</c:f>
            </c:strRef>
          </c:tx>
          <c:spPr>
            <a:ln cmpd="sng">
              <a:solidFill>
                <a:srgbClr val="EA4335"/>
              </a:solidFill>
            </a:ln>
          </c:spPr>
          <c:marker>
            <c:symbol val="none"/>
          </c:marker>
          <c:cat>
            <c:strRef>
              <c:f>deciles!$E$18:$E$27</c:f>
            </c:strRef>
          </c:cat>
          <c:val>
            <c:numRef>
              <c:f>deciles!$G$18:$G$27</c:f>
              <c:numCache/>
            </c:numRef>
          </c:val>
          <c:smooth val="0"/>
        </c:ser>
        <c:axId val="816309770"/>
        <c:axId val="1365241290"/>
      </c:lineChart>
      <c:catAx>
        <c:axId val="8163097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spPr/>
        <c:txPr>
          <a:bodyPr/>
          <a:lstStyle/>
          <a:p>
            <a:pPr lvl="0">
              <a:defRPr b="0">
                <a:solidFill>
                  <a:srgbClr val="000000"/>
                </a:solidFill>
                <a:latin typeface="+mn-lt"/>
              </a:defRPr>
            </a:pPr>
          </a:p>
        </c:txPr>
        <c:crossAx val="1365241290"/>
      </c:catAx>
      <c:valAx>
        <c:axId val="13652412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630977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 Customers vs. Grouped AOF</a:t>
            </a:r>
          </a:p>
        </c:rich>
      </c:tx>
      <c:overlay val="0"/>
    </c:title>
    <c:plotArea>
      <c:layout/>
      <c:barChart>
        <c:barDir val="col"/>
        <c:ser>
          <c:idx val="0"/>
          <c:order val="0"/>
          <c:tx>
            <c:strRef>
              <c:f>deciles!$O$17</c:f>
            </c:strRef>
          </c:tx>
          <c:spPr>
            <a:solidFill>
              <a:schemeClr val="accent1"/>
            </a:solidFill>
            <a:ln cmpd="sng">
              <a:solidFill>
                <a:srgbClr val="000000"/>
              </a:solidFill>
            </a:ln>
          </c:spPr>
          <c:cat>
            <c:strRef>
              <c:f>deciles!$N$18:$N$21</c:f>
            </c:strRef>
          </c:cat>
          <c:val>
            <c:numRef>
              <c:f>deciles!$O$18:$O$21</c:f>
              <c:numCache/>
            </c:numRef>
          </c:val>
        </c:ser>
        <c:axId val="651977002"/>
        <c:axId val="329440924"/>
      </c:barChart>
      <c:catAx>
        <c:axId val="6519770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Grouped AOF</a:t>
                </a:r>
              </a:p>
            </c:rich>
          </c:tx>
          <c:overlay val="0"/>
        </c:title>
        <c:numFmt formatCode="General" sourceLinked="1"/>
        <c:majorTickMark val="none"/>
        <c:minorTickMark val="none"/>
        <c:spPr/>
        <c:txPr>
          <a:bodyPr/>
          <a:lstStyle/>
          <a:p>
            <a:pPr lvl="0">
              <a:defRPr b="0">
                <a:solidFill>
                  <a:srgbClr val="000000"/>
                </a:solidFill>
                <a:latin typeface="+mn-lt"/>
              </a:defRPr>
            </a:pPr>
          </a:p>
        </c:txPr>
        <c:crossAx val="329440924"/>
      </c:catAx>
      <c:valAx>
        <c:axId val="3294409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 Customers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197700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vs Quarter</a:t>
            </a:r>
          </a:p>
        </c:rich>
      </c:tx>
      <c:overlay val="0"/>
    </c:title>
    <c:plotArea>
      <c:layout/>
      <c:barChart>
        <c:barDir val="col"/>
        <c:ser>
          <c:idx val="0"/>
          <c:order val="0"/>
          <c:tx>
            <c:strRef>
              <c:f>COHORT!$D$1</c:f>
            </c:strRef>
          </c:tx>
          <c:spPr>
            <a:solidFill>
              <a:schemeClr val="accent1"/>
            </a:solidFill>
            <a:ln cmpd="sng">
              <a:solidFill>
                <a:srgbClr val="000000"/>
              </a:solidFill>
            </a:ln>
          </c:spPr>
          <c:cat>
            <c:strRef>
              <c:f>COHORT!$A$2:$A$17</c:f>
            </c:strRef>
          </c:cat>
          <c:val>
            <c:numRef>
              <c:f>COHORT!$D$2:$D$17</c:f>
              <c:numCache/>
            </c:numRef>
          </c:val>
        </c:ser>
        <c:axId val="1015739625"/>
        <c:axId val="145655923"/>
      </c:barChart>
      <c:catAx>
        <c:axId val="10157396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45655923"/>
      </c:catAx>
      <c:valAx>
        <c:axId val="1456559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573962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spend/active customer vs. Quarter</a:t>
            </a:r>
          </a:p>
        </c:rich>
      </c:tx>
      <c:overlay val="0"/>
    </c:title>
    <c:plotArea>
      <c:layout/>
      <c:barChart>
        <c:barDir val="col"/>
        <c:ser>
          <c:idx val="0"/>
          <c:order val="0"/>
          <c:tx>
            <c:strRef>
              <c:f>COHORT!$G$1:$G$2</c:f>
            </c:strRef>
          </c:tx>
          <c:spPr>
            <a:solidFill>
              <a:schemeClr val="accent1"/>
            </a:solidFill>
            <a:ln cmpd="sng">
              <a:solidFill>
                <a:srgbClr val="000000"/>
              </a:solidFill>
            </a:ln>
          </c:spPr>
          <c:cat>
            <c:strRef>
              <c:f>COHORT!$A$3:$A$17</c:f>
            </c:strRef>
          </c:cat>
          <c:val>
            <c:numRef>
              <c:f>COHORT!$G$3:$G$17</c:f>
              <c:numCache/>
            </c:numRef>
          </c:val>
        </c:ser>
        <c:axId val="2003744719"/>
        <c:axId val="1379183042"/>
      </c:barChart>
      <c:catAx>
        <c:axId val="20037447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79183042"/>
      </c:catAx>
      <c:valAx>
        <c:axId val="13791830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03744719"/>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AOF vs Quarter</a:t>
            </a:r>
          </a:p>
        </c:rich>
      </c:tx>
      <c:overlay val="0"/>
    </c:title>
    <c:plotArea>
      <c:layout/>
      <c:barChart>
        <c:barDir val="col"/>
        <c:ser>
          <c:idx val="0"/>
          <c:order val="0"/>
          <c:tx>
            <c:strRef>
              <c:f>COHORT!$H$1:$H$2</c:f>
            </c:strRef>
          </c:tx>
          <c:spPr>
            <a:solidFill>
              <a:schemeClr val="accent1"/>
            </a:solidFill>
            <a:ln cmpd="sng">
              <a:solidFill>
                <a:srgbClr val="000000"/>
              </a:solidFill>
            </a:ln>
          </c:spPr>
          <c:cat>
            <c:strRef>
              <c:f>COHORT!$A$3:$A$17</c:f>
            </c:strRef>
          </c:cat>
          <c:val>
            <c:numRef>
              <c:f>COHORT!$H$3:$H$17</c:f>
              <c:numCache/>
            </c:numRef>
          </c:val>
        </c:ser>
        <c:axId val="1024754060"/>
        <c:axId val="1873245319"/>
      </c:barChart>
      <c:catAx>
        <c:axId val="10247540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73245319"/>
      </c:catAx>
      <c:valAx>
        <c:axId val="18732453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24754060"/>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AOV vs. Quarter</a:t>
            </a:r>
          </a:p>
        </c:rich>
      </c:tx>
      <c:overlay val="0"/>
    </c:title>
    <c:plotArea>
      <c:layout/>
      <c:barChart>
        <c:barDir val="col"/>
        <c:ser>
          <c:idx val="0"/>
          <c:order val="0"/>
          <c:tx>
            <c:strRef>
              <c:f>COHORT!$I$1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COHORT!$A$2:$A$17</c:f>
            </c:strRef>
          </c:cat>
          <c:val>
            <c:numRef>
              <c:f>COHORT!$I$2:$I$17</c:f>
              <c:numCache/>
            </c:numRef>
          </c:val>
        </c:ser>
        <c:axId val="337322653"/>
        <c:axId val="1026531518"/>
      </c:barChart>
      <c:catAx>
        <c:axId val="3373226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026531518"/>
      </c:catAx>
      <c:valAx>
        <c:axId val="1026531518"/>
        <c:scaling>
          <c:orientation val="minMax"/>
          <c:max val="6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AOV</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7322653"/>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active vs. Quarter</a:t>
            </a:r>
          </a:p>
        </c:rich>
      </c:tx>
      <c:overlay val="0"/>
    </c:title>
    <c:plotArea>
      <c:layout/>
      <c:barChart>
        <c:barDir val="col"/>
        <c:ser>
          <c:idx val="0"/>
          <c:order val="0"/>
          <c:tx>
            <c:strRef>
              <c:f>COHORT!$F$1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COHORT!$A$2:$A$17</c:f>
            </c:strRef>
          </c:cat>
          <c:val>
            <c:numRef>
              <c:f>COHORT!$F$2:$F$17</c:f>
              <c:numCache/>
            </c:numRef>
          </c:val>
        </c:ser>
        <c:axId val="1772089284"/>
        <c:axId val="253844193"/>
      </c:barChart>
      <c:catAx>
        <c:axId val="17720892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253844193"/>
      </c:catAx>
      <c:valAx>
        <c:axId val="2538441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active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2089284"/>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Q3 2021, Q4 2021 and Q4 2022</a:t>
            </a:r>
          </a:p>
        </c:rich>
      </c:tx>
      <c:overlay val="0"/>
    </c:title>
    <c:plotArea>
      <c:layout/>
      <c:lineChart>
        <c:ser>
          <c:idx val="0"/>
          <c:order val="0"/>
          <c:tx>
            <c:strRef>
              <c:f>'C. ANALYSIS'!$A$21</c:f>
            </c:strRef>
          </c:tx>
          <c:spPr>
            <a:ln cmpd="sng">
              <a:solidFill>
                <a:srgbClr val="4285F4"/>
              </a:solidFill>
            </a:ln>
          </c:spPr>
          <c:marker>
            <c:symbol val="none"/>
          </c:marker>
          <c:cat>
            <c:strRef>
              <c:f>'C. ANALYSIS'!$B$20:$D$20</c:f>
            </c:strRef>
          </c:cat>
          <c:val>
            <c:numRef>
              <c:f>'C. ANALYSIS'!$B$21:$D$21</c:f>
              <c:numCache/>
            </c:numRef>
          </c:val>
          <c:smooth val="0"/>
        </c:ser>
        <c:ser>
          <c:idx val="1"/>
          <c:order val="1"/>
          <c:tx>
            <c:strRef>
              <c:f>'C. ANALYSIS'!$A$22</c:f>
            </c:strRef>
          </c:tx>
          <c:spPr>
            <a:ln cmpd="sng">
              <a:solidFill>
                <a:srgbClr val="EA4335"/>
              </a:solidFill>
            </a:ln>
          </c:spPr>
          <c:marker>
            <c:symbol val="none"/>
          </c:marker>
          <c:cat>
            <c:strRef>
              <c:f>'C. ANALYSIS'!$B$20:$D$20</c:f>
            </c:strRef>
          </c:cat>
          <c:val>
            <c:numRef>
              <c:f>'C. ANALYSIS'!$B$22:$D$22</c:f>
              <c:numCache/>
            </c:numRef>
          </c:val>
          <c:smooth val="0"/>
        </c:ser>
        <c:ser>
          <c:idx val="2"/>
          <c:order val="2"/>
          <c:tx>
            <c:strRef>
              <c:f>'C. ANALYSIS'!$A$23</c:f>
            </c:strRef>
          </c:tx>
          <c:spPr>
            <a:ln cmpd="sng">
              <a:solidFill>
                <a:srgbClr val="FBBC04"/>
              </a:solidFill>
            </a:ln>
          </c:spPr>
          <c:marker>
            <c:symbol val="none"/>
          </c:marker>
          <c:cat>
            <c:strRef>
              <c:f>'C. ANALYSIS'!$B$20:$D$20</c:f>
            </c:strRef>
          </c:cat>
          <c:val>
            <c:numRef>
              <c:f>'C. ANALYSIS'!$B$23:$D$23</c:f>
              <c:numCache/>
            </c:numRef>
          </c:val>
          <c:smooth val="0"/>
        </c:ser>
        <c:ser>
          <c:idx val="3"/>
          <c:order val="3"/>
          <c:tx>
            <c:strRef>
              <c:f>'C. ANALYSIS'!$A$24</c:f>
            </c:strRef>
          </c:tx>
          <c:spPr>
            <a:ln cmpd="sng">
              <a:solidFill>
                <a:srgbClr val="34A853"/>
              </a:solidFill>
            </a:ln>
          </c:spPr>
          <c:marker>
            <c:symbol val="none"/>
          </c:marker>
          <c:cat>
            <c:strRef>
              <c:f>'C. ANALYSIS'!$B$20:$D$20</c:f>
            </c:strRef>
          </c:cat>
          <c:val>
            <c:numRef>
              <c:f>'C. ANALYSIS'!$B$24:$D$24</c:f>
              <c:numCache/>
            </c:numRef>
          </c:val>
          <c:smooth val="0"/>
        </c:ser>
        <c:ser>
          <c:idx val="4"/>
          <c:order val="4"/>
          <c:tx>
            <c:strRef>
              <c:f>'C. ANALYSIS'!$A$25</c:f>
            </c:strRef>
          </c:tx>
          <c:spPr>
            <a:ln cmpd="sng">
              <a:solidFill>
                <a:srgbClr val="FF6D01"/>
              </a:solidFill>
            </a:ln>
          </c:spPr>
          <c:marker>
            <c:symbol val="none"/>
          </c:marker>
          <c:cat>
            <c:strRef>
              <c:f>'C. ANALYSIS'!$B$20:$D$20</c:f>
            </c:strRef>
          </c:cat>
          <c:val>
            <c:numRef>
              <c:f>'C. ANALYSIS'!$B$25:$D$25</c:f>
              <c:numCache/>
            </c:numRef>
          </c:val>
          <c:smooth val="0"/>
        </c:ser>
        <c:ser>
          <c:idx val="5"/>
          <c:order val="5"/>
          <c:tx>
            <c:strRef>
              <c:f>'C. ANALYSIS'!$A$26</c:f>
            </c:strRef>
          </c:tx>
          <c:spPr>
            <a:ln cmpd="sng">
              <a:solidFill>
                <a:srgbClr val="46BDC6"/>
              </a:solidFill>
            </a:ln>
          </c:spPr>
          <c:marker>
            <c:symbol val="none"/>
          </c:marker>
          <c:cat>
            <c:strRef>
              <c:f>'C. ANALYSIS'!$B$20:$D$20</c:f>
            </c:strRef>
          </c:cat>
          <c:val>
            <c:numRef>
              <c:f>'C. ANALYSIS'!$B$26:$D$26</c:f>
              <c:numCache/>
            </c:numRef>
          </c:val>
          <c:smooth val="0"/>
        </c:ser>
        <c:ser>
          <c:idx val="6"/>
          <c:order val="6"/>
          <c:tx>
            <c:strRef>
              <c:f>'C. ANALYSIS'!$A$27</c:f>
            </c:strRef>
          </c:tx>
          <c:spPr>
            <a:ln cmpd="sng">
              <a:solidFill>
                <a:srgbClr val="7BAAF7"/>
              </a:solidFill>
            </a:ln>
          </c:spPr>
          <c:marker>
            <c:symbol val="none"/>
          </c:marker>
          <c:cat>
            <c:strRef>
              <c:f>'C. ANALYSIS'!$B$20:$D$20</c:f>
            </c:strRef>
          </c:cat>
          <c:val>
            <c:numRef>
              <c:f>'C. ANALYSIS'!$B$27:$D$27</c:f>
              <c:numCache/>
            </c:numRef>
          </c:val>
          <c:smooth val="0"/>
        </c:ser>
        <c:ser>
          <c:idx val="7"/>
          <c:order val="7"/>
          <c:tx>
            <c:strRef>
              <c:f>'C. ANALYSIS'!$A$28</c:f>
            </c:strRef>
          </c:tx>
          <c:spPr>
            <a:ln cmpd="sng">
              <a:solidFill>
                <a:srgbClr val="F07B72"/>
              </a:solidFill>
            </a:ln>
          </c:spPr>
          <c:marker>
            <c:symbol val="none"/>
          </c:marker>
          <c:cat>
            <c:strRef>
              <c:f>'C. ANALYSIS'!$B$20:$D$20</c:f>
            </c:strRef>
          </c:cat>
          <c:val>
            <c:numRef>
              <c:f>'C. ANALYSIS'!$B$28:$D$28</c:f>
              <c:numCache/>
            </c:numRef>
          </c:val>
          <c:smooth val="0"/>
        </c:ser>
        <c:ser>
          <c:idx val="8"/>
          <c:order val="8"/>
          <c:tx>
            <c:strRef>
              <c:f>'C. ANALYSIS'!$A$29</c:f>
            </c:strRef>
          </c:tx>
          <c:spPr>
            <a:ln cmpd="sng">
              <a:solidFill>
                <a:srgbClr val="FCD04F"/>
              </a:solidFill>
            </a:ln>
          </c:spPr>
          <c:marker>
            <c:symbol val="none"/>
          </c:marker>
          <c:cat>
            <c:strRef>
              <c:f>'C. ANALYSIS'!$B$20:$D$20</c:f>
            </c:strRef>
          </c:cat>
          <c:val>
            <c:numRef>
              <c:f>'C. ANALYSIS'!$B$29:$D$29</c:f>
              <c:numCache/>
            </c:numRef>
          </c:val>
          <c:smooth val="0"/>
        </c:ser>
        <c:ser>
          <c:idx val="9"/>
          <c:order val="9"/>
          <c:tx>
            <c:strRef>
              <c:f>'C. ANALYSIS'!$A$30</c:f>
            </c:strRef>
          </c:tx>
          <c:spPr>
            <a:ln cmpd="sng">
              <a:solidFill>
                <a:srgbClr val="71C287"/>
              </a:solidFill>
            </a:ln>
          </c:spPr>
          <c:marker>
            <c:symbol val="none"/>
          </c:marker>
          <c:cat>
            <c:strRef>
              <c:f>'C. ANALYSIS'!$B$20:$D$20</c:f>
            </c:strRef>
          </c:cat>
          <c:val>
            <c:numRef>
              <c:f>'C. ANALYSIS'!$B$30:$D$30</c:f>
              <c:numCache/>
            </c:numRef>
          </c:val>
          <c:smooth val="0"/>
        </c:ser>
        <c:ser>
          <c:idx val="10"/>
          <c:order val="10"/>
          <c:tx>
            <c:strRef>
              <c:f>'C. ANALYSIS'!$A$31</c:f>
            </c:strRef>
          </c:tx>
          <c:spPr>
            <a:ln cmpd="sng">
              <a:solidFill>
                <a:srgbClr val="FF994D"/>
              </a:solidFill>
            </a:ln>
          </c:spPr>
          <c:marker>
            <c:symbol val="none"/>
          </c:marker>
          <c:cat>
            <c:strRef>
              <c:f>'C. ANALYSIS'!$B$20:$D$20</c:f>
            </c:strRef>
          </c:cat>
          <c:val>
            <c:numRef>
              <c:f>'C. ANALYSIS'!$B$31:$D$31</c:f>
              <c:numCache/>
            </c:numRef>
          </c:val>
          <c:smooth val="0"/>
        </c:ser>
        <c:ser>
          <c:idx val="11"/>
          <c:order val="11"/>
          <c:tx>
            <c:strRef>
              <c:f>'C. ANALYSIS'!$A$32</c:f>
            </c:strRef>
          </c:tx>
          <c:spPr>
            <a:ln cmpd="sng">
              <a:solidFill>
                <a:srgbClr val="7ED1D7"/>
              </a:solidFill>
            </a:ln>
          </c:spPr>
          <c:marker>
            <c:symbol val="none"/>
          </c:marker>
          <c:cat>
            <c:strRef>
              <c:f>'C. ANALYSIS'!$B$20:$D$20</c:f>
            </c:strRef>
          </c:cat>
          <c:val>
            <c:numRef>
              <c:f>'C. ANALYSIS'!$B$32:$D$32</c:f>
              <c:numCache/>
            </c:numRef>
          </c:val>
          <c:smooth val="0"/>
        </c:ser>
        <c:ser>
          <c:idx val="12"/>
          <c:order val="12"/>
          <c:tx>
            <c:strRef>
              <c:f>'C. ANALYSIS'!$A$33</c:f>
            </c:strRef>
          </c:tx>
          <c:spPr>
            <a:ln cmpd="sng">
              <a:solidFill>
                <a:srgbClr val="B3CEFB"/>
              </a:solidFill>
            </a:ln>
          </c:spPr>
          <c:marker>
            <c:symbol val="none"/>
          </c:marker>
          <c:cat>
            <c:strRef>
              <c:f>'C. ANALYSIS'!$B$20:$D$20</c:f>
            </c:strRef>
          </c:cat>
          <c:val>
            <c:numRef>
              <c:f>'C. ANALYSIS'!$B$33:$D$33</c:f>
              <c:numCache/>
            </c:numRef>
          </c:val>
          <c:smooth val="0"/>
        </c:ser>
        <c:axId val="401976497"/>
        <c:axId val="1476552845"/>
      </c:lineChart>
      <c:catAx>
        <c:axId val="4019764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476552845"/>
      </c:catAx>
      <c:valAx>
        <c:axId val="14765528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1976497"/>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Q3 2021, Q4 2021 and Q4 2022</a:t>
            </a:r>
          </a:p>
        </c:rich>
      </c:tx>
      <c:overlay val="0"/>
    </c:title>
    <c:plotArea>
      <c:layout/>
      <c:lineChart>
        <c:ser>
          <c:idx val="0"/>
          <c:order val="0"/>
          <c:tx>
            <c:strRef>
              <c:f>'C. ANALYSIS'!$E$20</c:f>
            </c:strRef>
          </c:tx>
          <c:spPr>
            <a:ln cmpd="sng">
              <a:solidFill>
                <a:srgbClr val="4285F4"/>
              </a:solidFill>
            </a:ln>
          </c:spPr>
          <c:marker>
            <c:symbol val="none"/>
          </c:marker>
          <c:cat>
            <c:strRef>
              <c:f>'C. ANALYSIS'!$A$21:$A$34</c:f>
            </c:strRef>
          </c:cat>
          <c:val>
            <c:numRef>
              <c:f>'C. ANALYSIS'!$E$21:$E$34</c:f>
              <c:numCache/>
            </c:numRef>
          </c:val>
          <c:smooth val="0"/>
        </c:ser>
        <c:ser>
          <c:idx val="1"/>
          <c:order val="1"/>
          <c:tx>
            <c:strRef>
              <c:f>'C. ANALYSIS'!$F$20</c:f>
            </c:strRef>
          </c:tx>
          <c:spPr>
            <a:ln cmpd="sng">
              <a:solidFill>
                <a:srgbClr val="EA4335"/>
              </a:solidFill>
            </a:ln>
          </c:spPr>
          <c:marker>
            <c:symbol val="none"/>
          </c:marker>
          <c:cat>
            <c:strRef>
              <c:f>'C. ANALYSIS'!$A$21:$A$34</c:f>
            </c:strRef>
          </c:cat>
          <c:val>
            <c:numRef>
              <c:f>'C. ANALYSIS'!$F$21:$F$34</c:f>
              <c:numCache/>
            </c:numRef>
          </c:val>
          <c:smooth val="0"/>
        </c:ser>
        <c:ser>
          <c:idx val="2"/>
          <c:order val="2"/>
          <c:tx>
            <c:strRef>
              <c:f>'C. ANALYSIS'!$G$20</c:f>
            </c:strRef>
          </c:tx>
          <c:spPr>
            <a:ln cmpd="sng">
              <a:solidFill>
                <a:srgbClr val="FBBC04"/>
              </a:solidFill>
            </a:ln>
          </c:spPr>
          <c:marker>
            <c:symbol val="none"/>
          </c:marker>
          <c:cat>
            <c:strRef>
              <c:f>'C. ANALYSIS'!$A$21:$A$34</c:f>
            </c:strRef>
          </c:cat>
          <c:val>
            <c:numRef>
              <c:f>'C. ANALYSIS'!$G$21:$G$34</c:f>
              <c:numCache/>
            </c:numRef>
          </c:val>
          <c:smooth val="0"/>
        </c:ser>
        <c:axId val="1689241488"/>
        <c:axId val="1115135221"/>
      </c:lineChart>
      <c:catAx>
        <c:axId val="16892414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115135221"/>
      </c:catAx>
      <c:valAx>
        <c:axId val="11151352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9241488"/>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Q3 2021, Q4 2021 and Q4 2022</a:t>
            </a:r>
          </a:p>
        </c:rich>
      </c:tx>
      <c:overlay val="0"/>
    </c:title>
    <c:plotArea>
      <c:layout/>
      <c:lineChart>
        <c:ser>
          <c:idx val="0"/>
          <c:order val="0"/>
          <c:tx>
            <c:strRef>
              <c:f>'C. ANALYSIS'!$H$20</c:f>
            </c:strRef>
          </c:tx>
          <c:spPr>
            <a:ln cmpd="sng">
              <a:solidFill>
                <a:srgbClr val="4285F4"/>
              </a:solidFill>
            </a:ln>
          </c:spPr>
          <c:marker>
            <c:symbol val="none"/>
          </c:marker>
          <c:cat>
            <c:strRef>
              <c:f>'C. ANALYSIS'!$A$21:$A$34</c:f>
            </c:strRef>
          </c:cat>
          <c:val>
            <c:numRef>
              <c:f>'C. ANALYSIS'!$H$21:$H$34</c:f>
              <c:numCache/>
            </c:numRef>
          </c:val>
          <c:smooth val="0"/>
        </c:ser>
        <c:ser>
          <c:idx val="1"/>
          <c:order val="1"/>
          <c:tx>
            <c:strRef>
              <c:f>'C. ANALYSIS'!$I$20</c:f>
            </c:strRef>
          </c:tx>
          <c:spPr>
            <a:ln cmpd="sng">
              <a:solidFill>
                <a:srgbClr val="EA4335"/>
              </a:solidFill>
            </a:ln>
          </c:spPr>
          <c:marker>
            <c:symbol val="none"/>
          </c:marker>
          <c:cat>
            <c:strRef>
              <c:f>'C. ANALYSIS'!$A$21:$A$34</c:f>
            </c:strRef>
          </c:cat>
          <c:val>
            <c:numRef>
              <c:f>'C. ANALYSIS'!$I$21:$I$34</c:f>
              <c:numCache/>
            </c:numRef>
          </c:val>
          <c:smooth val="0"/>
        </c:ser>
        <c:ser>
          <c:idx val="2"/>
          <c:order val="2"/>
          <c:tx>
            <c:strRef>
              <c:f>'C. ANALYSIS'!$J$20</c:f>
            </c:strRef>
          </c:tx>
          <c:spPr>
            <a:ln cmpd="sng">
              <a:solidFill>
                <a:srgbClr val="FBBC04"/>
              </a:solidFill>
            </a:ln>
          </c:spPr>
          <c:marker>
            <c:symbol val="none"/>
          </c:marker>
          <c:cat>
            <c:strRef>
              <c:f>'C. ANALYSIS'!$A$21:$A$34</c:f>
            </c:strRef>
          </c:cat>
          <c:val>
            <c:numRef>
              <c:f>'C. ANALYSIS'!$J$21:$J$34</c:f>
              <c:numCache/>
            </c:numRef>
          </c:val>
          <c:smooth val="0"/>
        </c:ser>
        <c:axId val="1916200453"/>
        <c:axId val="1300020502"/>
      </c:lineChart>
      <c:catAx>
        <c:axId val="19162004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300020502"/>
      </c:catAx>
      <c:valAx>
        <c:axId val="1300020502"/>
        <c:scaling>
          <c:orientation val="minMax"/>
          <c:max val="2.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16200453"/>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a:t>
            </a:r>
          </a:p>
        </c:rich>
      </c:tx>
      <c:overlay val="0"/>
    </c:title>
    <c:plotArea>
      <c:layout/>
      <c:lineChart>
        <c:ser>
          <c:idx val="0"/>
          <c:order val="0"/>
          <c:tx>
            <c:strRef>
              <c:f>'C. ANALYSIS'!$D$2</c:f>
            </c:strRef>
          </c:tx>
          <c:spPr>
            <a:ln cmpd="sng">
              <a:solidFill>
                <a:srgbClr val="4285F4"/>
              </a:solidFill>
            </a:ln>
          </c:spPr>
          <c:marker>
            <c:symbol val="none"/>
          </c:marker>
          <c:cat>
            <c:strRef>
              <c:f>'C. ANALYSIS'!$A$2:$A$16</c:f>
            </c:strRef>
          </c:cat>
          <c:val>
            <c:numRef>
              <c:f>'C. ANALYSIS'!$D$3:$D$16</c:f>
              <c:numCache/>
            </c:numRef>
          </c:val>
          <c:smooth val="0"/>
        </c:ser>
        <c:ser>
          <c:idx val="1"/>
          <c:order val="1"/>
          <c:tx>
            <c:strRef>
              <c:f>'C. ANALYSIS'!$O$2</c:f>
            </c:strRef>
          </c:tx>
          <c:spPr>
            <a:ln cmpd="sng">
              <a:solidFill>
                <a:srgbClr val="EA4335"/>
              </a:solidFill>
            </a:ln>
          </c:spPr>
          <c:marker>
            <c:symbol val="none"/>
          </c:marker>
          <c:cat>
            <c:strRef>
              <c:f>'C. ANALYSIS'!$A$2:$A$16</c:f>
            </c:strRef>
          </c:cat>
          <c:val>
            <c:numRef>
              <c:f>'C. ANALYSIS'!$O$3:$O$16</c:f>
              <c:numCache/>
            </c:numRef>
          </c:val>
          <c:smooth val="0"/>
        </c:ser>
        <c:ser>
          <c:idx val="2"/>
          <c:order val="2"/>
          <c:tx>
            <c:strRef>
              <c:f>'C. ANALYSIS'!$Z$2</c:f>
            </c:strRef>
          </c:tx>
          <c:spPr>
            <a:ln cmpd="sng">
              <a:solidFill>
                <a:srgbClr val="FBBC04"/>
              </a:solidFill>
            </a:ln>
          </c:spPr>
          <c:marker>
            <c:symbol val="none"/>
          </c:marker>
          <c:cat>
            <c:strRef>
              <c:f>'C. ANALYSIS'!$A$2:$A$16</c:f>
            </c:strRef>
          </c:cat>
          <c:val>
            <c:numRef>
              <c:f>'C. ANALYSIS'!$Z$3:$Z$16</c:f>
              <c:numCache/>
            </c:numRef>
          </c:val>
          <c:smooth val="0"/>
        </c:ser>
        <c:axId val="252067613"/>
        <c:axId val="42157416"/>
      </c:lineChart>
      <c:catAx>
        <c:axId val="2520676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42157416"/>
      </c:catAx>
      <c:valAx>
        <c:axId val="421574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52067613"/>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Profit </a:t>
            </a:r>
          </a:p>
        </c:rich>
      </c:tx>
      <c:overlay val="0"/>
    </c:title>
    <c:plotArea>
      <c:layout/>
      <c:lineChart>
        <c:ser>
          <c:idx val="0"/>
          <c:order val="0"/>
          <c:tx>
            <c:strRef>
              <c:f>'C. ANALYSIS'!$E$2</c:f>
            </c:strRef>
          </c:tx>
          <c:spPr>
            <a:ln cmpd="sng">
              <a:solidFill>
                <a:srgbClr val="4285F4"/>
              </a:solidFill>
            </a:ln>
          </c:spPr>
          <c:marker>
            <c:symbol val="none"/>
          </c:marker>
          <c:cat>
            <c:strRef>
              <c:f>'C. ANALYSIS'!$A$2:$A$16</c:f>
            </c:strRef>
          </c:cat>
          <c:val>
            <c:numRef>
              <c:f>'C. ANALYSIS'!$E$3:$E$16</c:f>
              <c:numCache/>
            </c:numRef>
          </c:val>
          <c:smooth val="0"/>
        </c:ser>
        <c:ser>
          <c:idx val="1"/>
          <c:order val="1"/>
          <c:tx>
            <c:strRef>
              <c:f>'C. ANALYSIS'!$P$2</c:f>
            </c:strRef>
          </c:tx>
          <c:spPr>
            <a:ln cmpd="sng">
              <a:solidFill>
                <a:srgbClr val="EA4335"/>
              </a:solidFill>
            </a:ln>
          </c:spPr>
          <c:marker>
            <c:symbol val="none"/>
          </c:marker>
          <c:cat>
            <c:strRef>
              <c:f>'C. ANALYSIS'!$A$2:$A$16</c:f>
            </c:strRef>
          </c:cat>
          <c:val>
            <c:numRef>
              <c:f>'C. ANALYSIS'!$P$3:$P$16</c:f>
              <c:numCache/>
            </c:numRef>
          </c:val>
          <c:smooth val="0"/>
        </c:ser>
        <c:ser>
          <c:idx val="2"/>
          <c:order val="2"/>
          <c:tx>
            <c:strRef>
              <c:f>'C. ANALYSIS'!$AA$2</c:f>
            </c:strRef>
          </c:tx>
          <c:spPr>
            <a:ln cmpd="sng">
              <a:solidFill>
                <a:srgbClr val="FBBC04"/>
              </a:solidFill>
            </a:ln>
          </c:spPr>
          <c:marker>
            <c:symbol val="none"/>
          </c:marker>
          <c:cat>
            <c:strRef>
              <c:f>'C. ANALYSIS'!$A$2:$A$16</c:f>
            </c:strRef>
          </c:cat>
          <c:val>
            <c:numRef>
              <c:f>'C. ANALYSIS'!$AA$3:$AA$16</c:f>
              <c:numCache/>
            </c:numRef>
          </c:val>
          <c:smooth val="0"/>
        </c:ser>
        <c:axId val="1344007809"/>
        <c:axId val="1755791168"/>
      </c:lineChart>
      <c:catAx>
        <c:axId val="13440078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755791168"/>
      </c:catAx>
      <c:valAx>
        <c:axId val="17557911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4007809"/>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a:t>
            </a:r>
          </a:p>
        </c:rich>
      </c:tx>
      <c:overlay val="0"/>
    </c:title>
    <c:plotArea>
      <c:layout/>
      <c:barChart>
        <c:barDir val="bar"/>
        <c:grouping val="stacked"/>
        <c:ser>
          <c:idx val="0"/>
          <c:order val="0"/>
          <c:tx>
            <c:strRef>
              <c:f>'D. ANALYSIS'!$A$2</c:f>
            </c:strRef>
          </c:tx>
          <c:spPr>
            <a:solidFill>
              <a:schemeClr val="accent1"/>
            </a:solidFill>
            <a:ln cmpd="sng">
              <a:solidFill>
                <a:srgbClr val="000000"/>
              </a:solidFill>
            </a:ln>
          </c:spPr>
          <c:cat>
            <c:strRef>
              <c:f>'D. ANALYSIS'!$A$3:$A$7</c:f>
            </c:strRef>
          </c:cat>
          <c:val>
            <c:numRef>
              <c:f>'D. ANALYSIS'!$A$3:$A$7</c:f>
              <c:numCache/>
            </c:numRef>
          </c:val>
        </c:ser>
        <c:ser>
          <c:idx val="1"/>
          <c:order val="1"/>
          <c:tx>
            <c:strRef>
              <c:f>'D. ANALYSIS'!$B$2</c:f>
            </c:strRef>
          </c:tx>
          <c:spPr>
            <a:solidFill>
              <a:schemeClr val="accent2"/>
            </a:solidFill>
            <a:ln cmpd="sng">
              <a:solidFill>
                <a:srgbClr val="000000"/>
              </a:solidFill>
            </a:ln>
          </c:spPr>
          <c:cat>
            <c:strRef>
              <c:f>'D. ANALYSIS'!$A$3:$A$7</c:f>
            </c:strRef>
          </c:cat>
          <c:val>
            <c:numRef>
              <c:f>'D. ANALYSIS'!$B$3:$B$7</c:f>
              <c:numCache/>
            </c:numRef>
          </c:val>
        </c:ser>
        <c:ser>
          <c:idx val="2"/>
          <c:order val="2"/>
          <c:tx>
            <c:strRef>
              <c:f>'D. ANALYSIS'!$C$2</c:f>
            </c:strRef>
          </c:tx>
          <c:spPr>
            <a:solidFill>
              <a:schemeClr val="accent3"/>
            </a:solidFill>
            <a:ln cmpd="sng">
              <a:solidFill>
                <a:srgbClr val="000000"/>
              </a:solidFill>
            </a:ln>
          </c:spPr>
          <c:cat>
            <c:strRef>
              <c:f>'D. ANALYSIS'!$A$3:$A$7</c:f>
            </c:strRef>
          </c:cat>
          <c:val>
            <c:numRef>
              <c:f>'D. ANALYSIS'!$C$3:$C$7</c:f>
              <c:numCache/>
            </c:numRef>
          </c:val>
        </c:ser>
        <c:ser>
          <c:idx val="3"/>
          <c:order val="3"/>
          <c:tx>
            <c:strRef>
              <c:f>'D. ANALYSIS'!$D$2</c:f>
            </c:strRef>
          </c:tx>
          <c:spPr>
            <a:solidFill>
              <a:schemeClr val="accent4"/>
            </a:solidFill>
            <a:ln cmpd="sng">
              <a:solidFill>
                <a:srgbClr val="000000"/>
              </a:solidFill>
            </a:ln>
          </c:spPr>
          <c:cat>
            <c:strRef>
              <c:f>'D. ANALYSIS'!$A$3:$A$7</c:f>
            </c:strRef>
          </c:cat>
          <c:val>
            <c:numRef>
              <c:f>'D. ANALYSIS'!$D$3:$D$7</c:f>
              <c:numCache/>
            </c:numRef>
          </c:val>
        </c:ser>
        <c:ser>
          <c:idx val="4"/>
          <c:order val="4"/>
          <c:tx>
            <c:strRef>
              <c:f>'D. ANALYSIS'!$E$2</c:f>
            </c:strRef>
          </c:tx>
          <c:spPr>
            <a:solidFill>
              <a:schemeClr val="accent5"/>
            </a:solidFill>
            <a:ln cmpd="sng">
              <a:solidFill>
                <a:srgbClr val="000000"/>
              </a:solidFill>
            </a:ln>
          </c:spPr>
          <c:cat>
            <c:strRef>
              <c:f>'D. ANALYSIS'!$A$3:$A$7</c:f>
            </c:strRef>
          </c:cat>
          <c:val>
            <c:numRef>
              <c:f>'D. ANALYSIS'!$E$3:$E$7</c:f>
              <c:numCache/>
            </c:numRef>
          </c:val>
        </c:ser>
        <c:overlap val="100"/>
        <c:axId val="275675020"/>
        <c:axId val="1771892342"/>
      </c:barChart>
      <c:catAx>
        <c:axId val="27567502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71892342"/>
      </c:catAx>
      <c:valAx>
        <c:axId val="177189234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5675020"/>
        <c:crosses val="max"/>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Customers/2021/5,751, # Customers/2022/4,636, # Customers/2023/4,233 and # Customers/2024/3,921</a:t>
            </a:r>
          </a:p>
        </c:rich>
      </c:tx>
      <c:overlay val="0"/>
    </c:title>
    <c:plotArea>
      <c:layout/>
      <c:barChart>
        <c:barDir val="bar"/>
        <c:grouping val="stacked"/>
        <c:ser>
          <c:idx val="0"/>
          <c:order val="0"/>
          <c:tx>
            <c:strRef>
              <c:f>'D. ANALYSIS'!$L$1:$L$3</c:f>
            </c:strRef>
          </c:tx>
          <c:spPr>
            <a:solidFill>
              <a:schemeClr val="accent1"/>
            </a:solidFill>
            <a:ln cmpd="sng">
              <a:solidFill>
                <a:srgbClr val="000000"/>
              </a:solidFill>
            </a:ln>
          </c:spPr>
          <c:cat>
            <c:strRef>
              <c:f>'D. ANALYSIS'!$K$4:$K$8</c:f>
            </c:strRef>
          </c:cat>
          <c:val>
            <c:numRef>
              <c:f>'D. ANALYSIS'!$L$4:$L$8</c:f>
              <c:numCache/>
            </c:numRef>
          </c:val>
        </c:ser>
        <c:ser>
          <c:idx val="1"/>
          <c:order val="1"/>
          <c:tx>
            <c:strRef>
              <c:f>'D. ANALYSIS'!$M$1:$M$3</c:f>
            </c:strRef>
          </c:tx>
          <c:spPr>
            <a:solidFill>
              <a:schemeClr val="accent2"/>
            </a:solidFill>
            <a:ln cmpd="sng">
              <a:solidFill>
                <a:srgbClr val="000000"/>
              </a:solidFill>
            </a:ln>
          </c:spPr>
          <c:cat>
            <c:strRef>
              <c:f>'D. ANALYSIS'!$K$4:$K$8</c:f>
            </c:strRef>
          </c:cat>
          <c:val>
            <c:numRef>
              <c:f>'D. ANALYSIS'!$M$4:$M$8</c:f>
              <c:numCache/>
            </c:numRef>
          </c:val>
        </c:ser>
        <c:ser>
          <c:idx val="2"/>
          <c:order val="2"/>
          <c:tx>
            <c:strRef>
              <c:f>'D. ANALYSIS'!$N$1:$N$3</c:f>
            </c:strRef>
          </c:tx>
          <c:spPr>
            <a:solidFill>
              <a:schemeClr val="accent3"/>
            </a:solidFill>
            <a:ln cmpd="sng">
              <a:solidFill>
                <a:srgbClr val="000000"/>
              </a:solidFill>
            </a:ln>
          </c:spPr>
          <c:cat>
            <c:strRef>
              <c:f>'D. ANALYSIS'!$K$4:$K$8</c:f>
            </c:strRef>
          </c:cat>
          <c:val>
            <c:numRef>
              <c:f>'D. ANALYSIS'!$N$4:$N$8</c:f>
              <c:numCache/>
            </c:numRef>
          </c:val>
        </c:ser>
        <c:ser>
          <c:idx val="3"/>
          <c:order val="3"/>
          <c:tx>
            <c:strRef>
              <c:f>'D. ANALYSIS'!$O$1:$O$3</c:f>
            </c:strRef>
          </c:tx>
          <c:spPr>
            <a:solidFill>
              <a:schemeClr val="accent4"/>
            </a:solidFill>
            <a:ln cmpd="sng">
              <a:solidFill>
                <a:srgbClr val="000000"/>
              </a:solidFill>
            </a:ln>
          </c:spPr>
          <c:cat>
            <c:strRef>
              <c:f>'D. ANALYSIS'!$K$4:$K$8</c:f>
            </c:strRef>
          </c:cat>
          <c:val>
            <c:numRef>
              <c:f>'D. ANALYSIS'!$O$4:$O$8</c:f>
              <c:numCache/>
            </c:numRef>
          </c:val>
        </c:ser>
        <c:overlap val="100"/>
        <c:axId val="1924894390"/>
        <c:axId val="738079618"/>
      </c:barChart>
      <c:catAx>
        <c:axId val="192489439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Customers/Pre-2021</a:t>
                </a:r>
              </a:p>
            </c:rich>
          </c:tx>
          <c:overlay val="0"/>
        </c:title>
        <c:numFmt formatCode="General" sourceLinked="1"/>
        <c:majorTickMark val="none"/>
        <c:minorTickMark val="none"/>
        <c:spPr/>
        <c:txPr>
          <a:bodyPr/>
          <a:lstStyle/>
          <a:p>
            <a:pPr lvl="0">
              <a:defRPr b="0">
                <a:solidFill>
                  <a:srgbClr val="000000"/>
                </a:solidFill>
                <a:latin typeface="+mn-lt"/>
              </a:defRPr>
            </a:pPr>
          </a:p>
        </c:txPr>
        <c:crossAx val="738079618"/>
      </c:catAx>
      <c:valAx>
        <c:axId val="73807961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4894390"/>
        <c:crosses val="max"/>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Transactions vs. Decile</a:t>
            </a:r>
          </a:p>
        </c:rich>
      </c:tx>
      <c:overlay val="0"/>
    </c:title>
    <c:plotArea>
      <c:layout/>
      <c:pieChart>
        <c:varyColors val="1"/>
        <c:ser>
          <c:idx val="0"/>
          <c:order val="0"/>
          <c:tx>
            <c:strRef>
              <c:f>'D. ANALYSIS'!$T$1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'D. ANALYSIS'!$R$2:$R$11</c:f>
            </c:strRef>
          </c:cat>
          <c:val>
            <c:numRef>
              <c:f>'D. ANALYSIS'!$T$2:$T$11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spend/cust vs. Decile</a:t>
            </a:r>
          </a:p>
        </c:rich>
      </c:tx>
      <c:overlay val="0"/>
    </c:title>
    <c:plotArea>
      <c:layout/>
      <c:barChart>
        <c:barDir val="col"/>
        <c:ser>
          <c:idx val="0"/>
          <c:order val="0"/>
          <c:tx>
            <c:strRef>
              <c:f>'D. ANALYSIS'!$X$1</c:f>
            </c:strRef>
          </c:tx>
          <c:spPr>
            <a:solidFill>
              <a:schemeClr val="accent1"/>
            </a:solidFill>
            <a:ln cmpd="sng">
              <a:solidFill>
                <a:srgbClr val="000000"/>
              </a:solidFill>
            </a:ln>
          </c:spPr>
          <c:cat>
            <c:strRef>
              <c:f>'D. ANALYSIS'!$R$2:$R$11</c:f>
            </c:strRef>
          </c:cat>
          <c:val>
            <c:numRef>
              <c:f>'D. ANALYSIS'!$X$2:$X$11</c:f>
              <c:numCache/>
            </c:numRef>
          </c:val>
        </c:ser>
        <c:axId val="1051743764"/>
        <c:axId val="1182389388"/>
      </c:barChart>
      <c:catAx>
        <c:axId val="10517437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spPr/>
        <c:txPr>
          <a:bodyPr/>
          <a:lstStyle/>
          <a:p>
            <a:pPr lvl="0">
              <a:defRPr b="0">
                <a:solidFill>
                  <a:srgbClr val="000000"/>
                </a:solidFill>
                <a:latin typeface="+mn-lt"/>
              </a:defRPr>
            </a:pPr>
          </a:p>
        </c:txPr>
        <c:crossAx val="1182389388"/>
      </c:catAx>
      <c:valAx>
        <c:axId val="11823893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spend/cust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51743764"/>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 Id="rId5"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Relationship Id="rId5"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 Id="rId3" Type="http://schemas.openxmlformats.org/officeDocument/2006/relationships/chart" Target="../charts/chart15.xml"/><Relationship Id="rId4" Type="http://schemas.openxmlformats.org/officeDocument/2006/relationships/chart" Target="../charts/chart16.xml"/><Relationship Id="rId5" Type="http://schemas.openxmlformats.org/officeDocument/2006/relationships/image" Target="../media/Chart1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28</xdr:row>
      <xdr:rowOff>190500</xdr:rowOff>
    </xdr:from>
    <xdr:ext cx="3333750" cy="20669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447675</xdr:colOff>
      <xdr:row>22</xdr:row>
      <xdr:rowOff>19050</xdr:rowOff>
    </xdr:from>
    <xdr:ext cx="4105275" cy="25336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18</xdr:row>
      <xdr:rowOff>180975</xdr:rowOff>
    </xdr:from>
    <xdr:ext cx="3829050" cy="237172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942975</xdr:colOff>
      <xdr:row>18</xdr:row>
      <xdr:rowOff>161925</xdr:rowOff>
    </xdr:from>
    <xdr:ext cx="4019550" cy="2419350"/>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31</xdr:row>
      <xdr:rowOff>0</xdr:rowOff>
    </xdr:from>
    <xdr:ext cx="4733925" cy="2933700"/>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895350</xdr:colOff>
      <xdr:row>30</xdr:row>
      <xdr:rowOff>171450</xdr:rowOff>
    </xdr:from>
    <xdr:ext cx="4962525" cy="3076575"/>
    <xdr:graphicFrame>
      <xdr:nvGraphicFramePr>
        <xdr:cNvPr id="6" name="Chart 6"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46</xdr:row>
      <xdr:rowOff>28575</xdr:rowOff>
    </xdr:from>
    <xdr:ext cx="4962525" cy="3076575"/>
    <xdr:graphicFrame>
      <xdr:nvGraphicFramePr>
        <xdr:cNvPr id="7" name="Chart 7"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35</xdr:row>
      <xdr:rowOff>85725</xdr:rowOff>
    </xdr:from>
    <xdr:ext cx="5267325" cy="24288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0</xdr:colOff>
      <xdr:row>36</xdr:row>
      <xdr:rowOff>38100</xdr:rowOff>
    </xdr:from>
    <xdr:ext cx="5324475" cy="3009900"/>
    <xdr:graphicFrame>
      <xdr:nvGraphicFramePr>
        <xdr:cNvPr id="9" name="Chart 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51</xdr:row>
      <xdr:rowOff>123825</xdr:rowOff>
    </xdr:from>
    <xdr:ext cx="5638800" cy="2486025"/>
    <xdr:graphicFrame>
      <xdr:nvGraphicFramePr>
        <xdr:cNvPr id="10" name="Chart 10"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13</xdr:col>
      <xdr:colOff>504825</xdr:colOff>
      <xdr:row>17</xdr:row>
      <xdr:rowOff>47625</xdr:rowOff>
    </xdr:from>
    <xdr:ext cx="4695825" cy="3571875"/>
    <xdr:graphicFrame>
      <xdr:nvGraphicFramePr>
        <xdr:cNvPr id="11" name="Chart 11"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19</xdr:col>
      <xdr:colOff>762000</xdr:colOff>
      <xdr:row>17</xdr:row>
      <xdr:rowOff>190500</xdr:rowOff>
    </xdr:from>
    <xdr:ext cx="4829175" cy="3571875"/>
    <xdr:graphicFrame>
      <xdr:nvGraphicFramePr>
        <xdr:cNvPr id="12" name="Chart 12"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xdr:row>
      <xdr:rowOff>180975</xdr:rowOff>
    </xdr:from>
    <xdr:ext cx="3505200" cy="2171700"/>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942975</xdr:colOff>
      <xdr:row>7</xdr:row>
      <xdr:rowOff>161925</xdr:rowOff>
    </xdr:from>
    <xdr:ext cx="4086225" cy="2524125"/>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16</xdr:col>
      <xdr:colOff>933450</xdr:colOff>
      <xdr:row>12</xdr:row>
      <xdr:rowOff>66675</xdr:rowOff>
    </xdr:from>
    <xdr:ext cx="3505200" cy="2009775"/>
    <xdr:graphicFrame>
      <xdr:nvGraphicFramePr>
        <xdr:cNvPr id="15" name="Chart 1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20</xdr:col>
      <xdr:colOff>666750</xdr:colOff>
      <xdr:row>12</xdr:row>
      <xdr:rowOff>66675</xdr:rowOff>
    </xdr:from>
    <xdr:ext cx="4086225" cy="2524125"/>
    <xdr:graphicFrame>
      <xdr:nvGraphicFramePr>
        <xdr:cNvPr id="16" name="Chart 16"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17</xdr:col>
      <xdr:colOff>933450</xdr:colOff>
      <xdr:row>25</xdr:row>
      <xdr:rowOff>171450</xdr:rowOff>
    </xdr:from>
    <xdr:ext cx="3505200" cy="2171700"/>
    <xdr:pic>
      <xdr:nvPicPr>
        <xdr:cNvPr id="116443882" name="Chart1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s>
  <sheetData>
    <row r="2">
      <c r="A2" s="1" t="s">
        <v>0</v>
      </c>
      <c r="B2" s="1" t="s">
        <v>1</v>
      </c>
      <c r="C2" s="1" t="s">
        <v>2</v>
      </c>
      <c r="D2" s="1" t="s">
        <v>3</v>
      </c>
      <c r="E2" s="1" t="s">
        <v>4</v>
      </c>
      <c r="F2" s="2" t="s">
        <v>1</v>
      </c>
      <c r="G2" s="1" t="s">
        <v>2</v>
      </c>
      <c r="H2" s="1" t="s">
        <v>3</v>
      </c>
      <c r="I2" s="1" t="s">
        <v>4</v>
      </c>
      <c r="J2" s="3" t="s">
        <v>5</v>
      </c>
      <c r="K2" s="3" t="s">
        <v>6</v>
      </c>
      <c r="L2" s="4" t="s">
        <v>7</v>
      </c>
      <c r="M2" s="5" t="s">
        <v>8</v>
      </c>
      <c r="N2" s="5" t="s">
        <v>9</v>
      </c>
    </row>
    <row r="3">
      <c r="A3" s="6">
        <v>1.0</v>
      </c>
      <c r="B3" s="7">
        <v>3180.0</v>
      </c>
      <c r="C3" s="7">
        <v>17503.0</v>
      </c>
      <c r="D3" s="7">
        <v>1.28952505E8</v>
      </c>
      <c r="E3" s="7">
        <v>6.2160175E7</v>
      </c>
      <c r="F3" s="8">
        <f t="shared" ref="F3:F13" si="2">B3/$B$13</f>
        <v>0.1000094349</v>
      </c>
      <c r="G3" s="8">
        <f t="shared" ref="G3:G13" si="3">C3/$C$13</f>
        <v>0.2857166177</v>
      </c>
      <c r="H3" s="8">
        <f t="shared" ref="H3:H13" si="4">D3/$D$13</f>
        <v>0.3960449742</v>
      </c>
      <c r="I3" s="8">
        <f t="shared" ref="I3:I13" si="5">E3/$E$13</f>
        <v>0.3984214517</v>
      </c>
      <c r="J3" s="9">
        <f t="shared" ref="J3:J13" si="6">D3/B3</f>
        <v>40551.1022</v>
      </c>
      <c r="K3" s="10">
        <f t="shared" ref="K3:K13" si="7">E3/B3</f>
        <v>19547.22484</v>
      </c>
      <c r="L3" s="11">
        <f t="shared" ref="L3:N3" si="1">C3/B3</f>
        <v>5.50408805</v>
      </c>
      <c r="M3" s="12">
        <f t="shared" si="1"/>
        <v>7367.45158</v>
      </c>
      <c r="N3" s="13">
        <f t="shared" si="1"/>
        <v>0.4820392981</v>
      </c>
    </row>
    <row r="4">
      <c r="A4" s="6">
        <v>2.0</v>
      </c>
      <c r="B4" s="7">
        <v>3180.0</v>
      </c>
      <c r="C4" s="7">
        <v>8703.0</v>
      </c>
      <c r="D4" s="7">
        <v>5.5542905E7</v>
      </c>
      <c r="E4" s="7">
        <v>2.707903E7</v>
      </c>
      <c r="F4" s="8">
        <f t="shared" si="2"/>
        <v>0.1000094349</v>
      </c>
      <c r="G4" s="8">
        <f t="shared" si="3"/>
        <v>0.1420666014</v>
      </c>
      <c r="H4" s="8">
        <f t="shared" si="4"/>
        <v>0.1705859718</v>
      </c>
      <c r="I4" s="8">
        <f t="shared" si="5"/>
        <v>0.1735655738</v>
      </c>
      <c r="J4" s="9">
        <f t="shared" si="6"/>
        <v>17466.32233</v>
      </c>
      <c r="K4" s="10">
        <f t="shared" si="7"/>
        <v>8515.418239</v>
      </c>
      <c r="L4" s="11">
        <f t="shared" ref="L4:N4" si="8">C4/B4</f>
        <v>2.736792453</v>
      </c>
      <c r="M4" s="12">
        <f t="shared" si="8"/>
        <v>6382.04125</v>
      </c>
      <c r="N4" s="13">
        <f t="shared" si="8"/>
        <v>0.4875335563</v>
      </c>
    </row>
    <row r="5">
      <c r="A5" s="6">
        <v>3.0</v>
      </c>
      <c r="B5" s="7">
        <v>3177.0</v>
      </c>
      <c r="C5" s="7">
        <v>6345.0</v>
      </c>
      <c r="D5" s="7">
        <v>3.8274225E7</v>
      </c>
      <c r="E5" s="7">
        <v>1.8722055E7</v>
      </c>
      <c r="F5" s="8">
        <f t="shared" si="2"/>
        <v>0.09991508633</v>
      </c>
      <c r="G5" s="8">
        <f t="shared" si="3"/>
        <v>0.1035749265</v>
      </c>
      <c r="H5" s="8">
        <f t="shared" si="4"/>
        <v>0.1175495928</v>
      </c>
      <c r="I5" s="8">
        <f t="shared" si="5"/>
        <v>0.1200007615</v>
      </c>
      <c r="J5" s="9">
        <f t="shared" si="6"/>
        <v>12047.28517</v>
      </c>
      <c r="K5" s="10">
        <f t="shared" si="7"/>
        <v>5892.998111</v>
      </c>
      <c r="L5" s="11">
        <f t="shared" ref="L5:N5" si="9">C5/B5</f>
        <v>1.997167139</v>
      </c>
      <c r="M5" s="12">
        <f t="shared" si="9"/>
        <v>6032.186761</v>
      </c>
      <c r="N5" s="13">
        <f t="shared" si="9"/>
        <v>0.4891556916</v>
      </c>
    </row>
    <row r="6">
      <c r="A6" s="6">
        <v>4.0</v>
      </c>
      <c r="B6" s="7">
        <v>3178.0</v>
      </c>
      <c r="C6" s="7">
        <v>5349.0</v>
      </c>
      <c r="D6" s="7">
        <v>2.901701E7</v>
      </c>
      <c r="E6" s="7">
        <v>1.3916595E7</v>
      </c>
      <c r="F6" s="8">
        <f t="shared" si="2"/>
        <v>0.09994653584</v>
      </c>
      <c r="G6" s="8">
        <f t="shared" si="3"/>
        <v>0.08731635651</v>
      </c>
      <c r="H6" s="8">
        <f t="shared" si="4"/>
        <v>0.08911840044</v>
      </c>
      <c r="I6" s="8">
        <f t="shared" si="5"/>
        <v>0.08919971643</v>
      </c>
      <c r="J6" s="9">
        <f t="shared" si="6"/>
        <v>9130.58842</v>
      </c>
      <c r="K6" s="10">
        <f t="shared" si="7"/>
        <v>4379.04185</v>
      </c>
      <c r="L6" s="11">
        <f t="shared" ref="L6:N6" si="10">C6/B6</f>
        <v>1.683134047</v>
      </c>
      <c r="M6" s="12">
        <f t="shared" si="10"/>
        <v>5424.75416</v>
      </c>
      <c r="N6" s="13">
        <f t="shared" si="10"/>
        <v>0.4796012753</v>
      </c>
    </row>
    <row r="7">
      <c r="A7" s="6">
        <v>5.0</v>
      </c>
      <c r="B7" s="7">
        <v>3183.0</v>
      </c>
      <c r="C7" s="7">
        <v>4683.0</v>
      </c>
      <c r="D7" s="7">
        <v>2.2555225E7</v>
      </c>
      <c r="E7" s="7">
        <v>1.0734405E7</v>
      </c>
      <c r="F7" s="8">
        <f t="shared" si="2"/>
        <v>0.1001037834</v>
      </c>
      <c r="G7" s="8">
        <f t="shared" si="3"/>
        <v>0.0764446621</v>
      </c>
      <c r="H7" s="8">
        <f t="shared" si="4"/>
        <v>0.06927266364</v>
      </c>
      <c r="I7" s="8">
        <f t="shared" si="5"/>
        <v>0.06880317218</v>
      </c>
      <c r="J7" s="9">
        <f t="shared" si="6"/>
        <v>7086.153</v>
      </c>
      <c r="K7" s="10">
        <f t="shared" si="7"/>
        <v>3372.417531</v>
      </c>
      <c r="L7" s="11">
        <f t="shared" ref="L7:N7" si="11">C7/B7</f>
        <v>1.471253534</v>
      </c>
      <c r="M7" s="12">
        <f t="shared" si="11"/>
        <v>4816.405082</v>
      </c>
      <c r="N7" s="13">
        <f t="shared" si="11"/>
        <v>0.4759165559</v>
      </c>
    </row>
    <row r="8">
      <c r="A8" s="6">
        <v>6.0</v>
      </c>
      <c r="B8" s="7">
        <v>3124.0</v>
      </c>
      <c r="C8" s="7">
        <v>4330.0</v>
      </c>
      <c r="D8" s="7">
        <v>1.7169955E7</v>
      </c>
      <c r="E8" s="7">
        <v>7948270.0</v>
      </c>
      <c r="F8" s="8">
        <f t="shared" si="2"/>
        <v>0.09824826241</v>
      </c>
      <c r="G8" s="8">
        <f t="shared" si="3"/>
        <v>0.07068233758</v>
      </c>
      <c r="H8" s="8">
        <f t="shared" si="4"/>
        <v>0.05273317014</v>
      </c>
      <c r="I8" s="8">
        <f t="shared" si="5"/>
        <v>0.05094517948</v>
      </c>
      <c r="J8" s="9">
        <f t="shared" si="6"/>
        <v>5496.144366</v>
      </c>
      <c r="K8" s="10">
        <f t="shared" si="7"/>
        <v>2544.260563</v>
      </c>
      <c r="L8" s="11">
        <f t="shared" ref="L8:N8" si="12">C8/B8</f>
        <v>1.386043534</v>
      </c>
      <c r="M8" s="12">
        <f t="shared" si="12"/>
        <v>3965.347575</v>
      </c>
      <c r="N8" s="13">
        <f t="shared" si="12"/>
        <v>0.462917346</v>
      </c>
    </row>
    <row r="9">
      <c r="A9" s="6">
        <v>7.0</v>
      </c>
      <c r="B9" s="7">
        <v>3233.0</v>
      </c>
      <c r="C9" s="7">
        <v>4004.0</v>
      </c>
      <c r="D9" s="7">
        <v>1.347071E7</v>
      </c>
      <c r="E9" s="7">
        <v>6240025.0</v>
      </c>
      <c r="F9" s="8">
        <f t="shared" si="2"/>
        <v>0.1016762588</v>
      </c>
      <c r="G9" s="8">
        <f t="shared" si="3"/>
        <v>0.06536075743</v>
      </c>
      <c r="H9" s="8">
        <f t="shared" si="4"/>
        <v>0.0413718756</v>
      </c>
      <c r="I9" s="8">
        <f t="shared" si="5"/>
        <v>0.03999602349</v>
      </c>
      <c r="J9" s="9">
        <f t="shared" si="6"/>
        <v>4166.628518</v>
      </c>
      <c r="K9" s="10">
        <f t="shared" si="7"/>
        <v>1930.103619</v>
      </c>
      <c r="L9" s="11">
        <f t="shared" ref="L9:N9" si="13">C9/B9</f>
        <v>1.238478194</v>
      </c>
      <c r="M9" s="12">
        <f t="shared" si="13"/>
        <v>3364.313187</v>
      </c>
      <c r="N9" s="13">
        <f t="shared" si="13"/>
        <v>0.4632291097</v>
      </c>
    </row>
    <row r="10">
      <c r="A10" s="6">
        <v>8.0</v>
      </c>
      <c r="B10" s="7">
        <v>2996.0</v>
      </c>
      <c r="C10" s="7">
        <v>3414.0</v>
      </c>
      <c r="D10" s="7">
        <v>9381075.0</v>
      </c>
      <c r="E10" s="7">
        <v>4326685.0</v>
      </c>
      <c r="F10" s="8">
        <f t="shared" si="2"/>
        <v>0.09422272541</v>
      </c>
      <c r="G10" s="8">
        <f t="shared" si="3"/>
        <v>0.05572967679</v>
      </c>
      <c r="H10" s="8">
        <f t="shared" si="4"/>
        <v>0.028811597</v>
      </c>
      <c r="I10" s="8">
        <f t="shared" si="5"/>
        <v>0.02773229192</v>
      </c>
      <c r="J10" s="9">
        <f t="shared" si="6"/>
        <v>3131.199933</v>
      </c>
      <c r="K10" s="10">
        <f t="shared" si="7"/>
        <v>1444.153872</v>
      </c>
      <c r="L10" s="11">
        <f t="shared" ref="L10:N10" si="14">C10/B10</f>
        <v>1.139519359</v>
      </c>
      <c r="M10" s="12">
        <f t="shared" si="14"/>
        <v>2747.825132</v>
      </c>
      <c r="N10" s="13">
        <f t="shared" si="14"/>
        <v>0.4612141999</v>
      </c>
    </row>
    <row r="11">
      <c r="A11" s="6">
        <v>9.0</v>
      </c>
      <c r="B11" s="7">
        <v>3360.0</v>
      </c>
      <c r="C11" s="7">
        <v>3659.0</v>
      </c>
      <c r="D11" s="7">
        <v>7496500.0</v>
      </c>
      <c r="E11" s="7">
        <v>3334100.0</v>
      </c>
      <c r="F11" s="8">
        <f t="shared" si="2"/>
        <v>0.1056703463</v>
      </c>
      <c r="G11" s="8">
        <f t="shared" si="3"/>
        <v>0.05972902383</v>
      </c>
      <c r="H11" s="8">
        <f t="shared" si="4"/>
        <v>0.02302360198</v>
      </c>
      <c r="I11" s="8">
        <f t="shared" si="5"/>
        <v>0.02137022559</v>
      </c>
      <c r="J11" s="9">
        <f t="shared" si="6"/>
        <v>2231.10119</v>
      </c>
      <c r="K11" s="10">
        <f t="shared" si="7"/>
        <v>992.2916667</v>
      </c>
      <c r="L11" s="11">
        <f t="shared" ref="L11:N11" si="15">C11/B11</f>
        <v>1.088988095</v>
      </c>
      <c r="M11" s="12">
        <f t="shared" si="15"/>
        <v>2048.783821</v>
      </c>
      <c r="N11" s="13">
        <f t="shared" si="15"/>
        <v>0.4447542186</v>
      </c>
    </row>
    <row r="12">
      <c r="A12" s="6">
        <v>10.0</v>
      </c>
      <c r="B12" s="7">
        <v>3186.0</v>
      </c>
      <c r="C12" s="7">
        <v>3270.0</v>
      </c>
      <c r="D12" s="7">
        <v>3740550.0</v>
      </c>
      <c r="E12" s="7">
        <v>1554795.0</v>
      </c>
      <c r="F12" s="8">
        <f t="shared" si="2"/>
        <v>0.1001981319</v>
      </c>
      <c r="G12" s="8">
        <f t="shared" si="3"/>
        <v>0.05337904016</v>
      </c>
      <c r="H12" s="8">
        <f t="shared" si="4"/>
        <v>0.01148815239</v>
      </c>
      <c r="I12" s="8">
        <f t="shared" si="5"/>
        <v>0.009965603878</v>
      </c>
      <c r="J12" s="9">
        <f t="shared" si="6"/>
        <v>1174.05838</v>
      </c>
      <c r="K12" s="10">
        <f t="shared" si="7"/>
        <v>488.0084746</v>
      </c>
      <c r="L12" s="11">
        <f t="shared" ref="L12:N12" si="16">C12/B12</f>
        <v>1.026365348</v>
      </c>
      <c r="M12" s="12">
        <f t="shared" si="16"/>
        <v>1143.899083</v>
      </c>
      <c r="N12" s="13">
        <f t="shared" si="16"/>
        <v>0.4156594618</v>
      </c>
    </row>
    <row r="13">
      <c r="A13" s="14" t="s">
        <v>10</v>
      </c>
      <c r="B13" s="15">
        <f t="shared" ref="B13:E13" si="17">SUM(B3:B12)</f>
        <v>31797</v>
      </c>
      <c r="C13" s="15">
        <f t="shared" si="17"/>
        <v>61260</v>
      </c>
      <c r="D13" s="15">
        <f t="shared" si="17"/>
        <v>325600660</v>
      </c>
      <c r="E13" s="15">
        <f t="shared" si="17"/>
        <v>156016135</v>
      </c>
      <c r="F13" s="16">
        <f t="shared" si="2"/>
        <v>1</v>
      </c>
      <c r="G13" s="16">
        <f t="shared" si="3"/>
        <v>1</v>
      </c>
      <c r="H13" s="16">
        <f t="shared" si="4"/>
        <v>1</v>
      </c>
      <c r="I13" s="16">
        <f t="shared" si="5"/>
        <v>1</v>
      </c>
      <c r="J13" s="9">
        <f t="shared" si="6"/>
        <v>10239.9805</v>
      </c>
      <c r="K13" s="10">
        <f t="shared" si="7"/>
        <v>4906.630657</v>
      </c>
      <c r="L13" s="11">
        <f t="shared" ref="L13:N13" si="18">C13/B13</f>
        <v>1.926596849</v>
      </c>
      <c r="M13" s="12">
        <f t="shared" si="18"/>
        <v>5315.061378</v>
      </c>
      <c r="N13" s="13">
        <f t="shared" si="18"/>
        <v>0.4791640625</v>
      </c>
    </row>
    <row r="17">
      <c r="A17" s="1" t="s">
        <v>0</v>
      </c>
      <c r="B17" s="1" t="s">
        <v>3</v>
      </c>
      <c r="C17" s="1" t="s">
        <v>4</v>
      </c>
      <c r="E17" s="1" t="s">
        <v>0</v>
      </c>
      <c r="F17" s="1" t="s">
        <v>3</v>
      </c>
      <c r="G17" s="1" t="s">
        <v>4</v>
      </c>
      <c r="H17" s="17" t="s">
        <v>11</v>
      </c>
      <c r="I17" s="17" t="s">
        <v>12</v>
      </c>
      <c r="K17" s="2" t="s">
        <v>1</v>
      </c>
      <c r="L17" s="4" t="s">
        <v>7</v>
      </c>
      <c r="N17" s="18" t="s">
        <v>13</v>
      </c>
      <c r="O17" s="19" t="s">
        <v>14</v>
      </c>
    </row>
    <row r="18">
      <c r="A18" s="6">
        <v>1.0</v>
      </c>
      <c r="B18" s="7">
        <v>1.28952505E8</v>
      </c>
      <c r="C18" s="7">
        <v>6.2160175E7</v>
      </c>
      <c r="E18" s="6">
        <v>1.0</v>
      </c>
      <c r="F18" s="8">
        <f t="shared" ref="F18:F28" si="20">B18/$D$13</f>
        <v>0.3960449742</v>
      </c>
      <c r="G18" s="8">
        <f t="shared" ref="G18:G28" si="21">C18/$E$13</f>
        <v>0.3984214517</v>
      </c>
      <c r="H18" s="20">
        <f t="shared" ref="H18:I18" si="19">F18</f>
        <v>0.3960449742</v>
      </c>
      <c r="I18" s="20">
        <f t="shared" si="19"/>
        <v>0.3984214517</v>
      </c>
      <c r="K18" s="8">
        <f t="shared" ref="K18:K27" si="23">G18/$B$13</f>
        <v>0.00001253015856</v>
      </c>
      <c r="L18" s="21">
        <v>5.504088050314466</v>
      </c>
      <c r="N18" s="22" t="s">
        <v>15</v>
      </c>
      <c r="O18" s="23">
        <v>0.4017674623392144</v>
      </c>
    </row>
    <row r="19">
      <c r="A19" s="6">
        <v>2.0</v>
      </c>
      <c r="B19" s="7">
        <v>5.5542905E7</v>
      </c>
      <c r="C19" s="7">
        <v>2.707903E7</v>
      </c>
      <c r="E19" s="6">
        <v>2.0</v>
      </c>
      <c r="F19" s="8">
        <f t="shared" si="20"/>
        <v>0.1705859718</v>
      </c>
      <c r="G19" s="8">
        <f t="shared" si="21"/>
        <v>0.1735655738</v>
      </c>
      <c r="H19" s="20">
        <f t="shared" ref="H19:I19" si="22">F19+H18</f>
        <v>0.566630946</v>
      </c>
      <c r="I19" s="20">
        <f t="shared" si="22"/>
        <v>0.5719870256</v>
      </c>
      <c r="K19" s="8">
        <f t="shared" si="23"/>
        <v>0.000005458551871</v>
      </c>
      <c r="L19" s="21">
        <v>2.736792452830189</v>
      </c>
      <c r="N19" s="22" t="s">
        <v>16</v>
      </c>
      <c r="O19" s="23">
        <v>0.3982136679560965</v>
      </c>
    </row>
    <row r="20">
      <c r="A20" s="6">
        <v>3.0</v>
      </c>
      <c r="B20" s="7">
        <v>3.8274225E7</v>
      </c>
      <c r="C20" s="7">
        <v>1.8722055E7</v>
      </c>
      <c r="E20" s="6">
        <v>3.0</v>
      </c>
      <c r="F20" s="8">
        <f t="shared" si="20"/>
        <v>0.1175495928</v>
      </c>
      <c r="G20" s="8">
        <f t="shared" si="21"/>
        <v>0.1200007615</v>
      </c>
      <c r="H20" s="20">
        <f t="shared" ref="H20:I20" si="24">F20+H19</f>
        <v>0.6841805388</v>
      </c>
      <c r="I20" s="20">
        <f t="shared" si="24"/>
        <v>0.691987787</v>
      </c>
      <c r="K20" s="8">
        <f t="shared" si="23"/>
        <v>0.000003773964885</v>
      </c>
      <c r="L20" s="21">
        <v>1.9971671388101984</v>
      </c>
      <c r="N20" s="22" t="s">
        <v>17</v>
      </c>
      <c r="O20" s="23">
        <v>0.10000943485234456</v>
      </c>
    </row>
    <row r="21">
      <c r="A21" s="6">
        <v>4.0</v>
      </c>
      <c r="B21" s="7">
        <v>2.901701E7</v>
      </c>
      <c r="C21" s="7">
        <v>1.3916595E7</v>
      </c>
      <c r="E21" s="6">
        <v>4.0</v>
      </c>
      <c r="F21" s="8">
        <f t="shared" si="20"/>
        <v>0.08911840044</v>
      </c>
      <c r="G21" s="8">
        <f t="shared" si="21"/>
        <v>0.08919971643</v>
      </c>
      <c r="H21" s="20">
        <f t="shared" ref="H21:I21" si="25">F21+H20</f>
        <v>0.7732989393</v>
      </c>
      <c r="I21" s="20">
        <f t="shared" si="25"/>
        <v>0.7811875035</v>
      </c>
      <c r="K21" s="8">
        <f t="shared" si="23"/>
        <v>0.000002805287179</v>
      </c>
      <c r="L21" s="21">
        <v>1.6831340465701699</v>
      </c>
      <c r="N21" s="22" t="s">
        <v>18</v>
      </c>
      <c r="O21" s="23">
        <v>0.10000943485234456</v>
      </c>
    </row>
    <row r="22">
      <c r="A22" s="6">
        <v>5.0</v>
      </c>
      <c r="B22" s="7">
        <v>2.2555225E7</v>
      </c>
      <c r="C22" s="7">
        <v>1.0734405E7</v>
      </c>
      <c r="E22" s="6">
        <v>5.0</v>
      </c>
      <c r="F22" s="8">
        <f t="shared" si="20"/>
        <v>0.06927266364</v>
      </c>
      <c r="G22" s="8">
        <f t="shared" si="21"/>
        <v>0.06880317218</v>
      </c>
      <c r="H22" s="20">
        <f t="shared" ref="H22:I22" si="26">F22+H21</f>
        <v>0.8425716029</v>
      </c>
      <c r="I22" s="20">
        <f t="shared" si="26"/>
        <v>0.8499906756</v>
      </c>
      <c r="K22" s="8">
        <f t="shared" si="23"/>
        <v>0.000002163825901</v>
      </c>
      <c r="L22" s="21">
        <v>1.471253534401508</v>
      </c>
      <c r="N22" s="24" t="s">
        <v>19</v>
      </c>
      <c r="O22" s="24">
        <v>1.0</v>
      </c>
    </row>
    <row r="23">
      <c r="A23" s="6">
        <v>6.0</v>
      </c>
      <c r="B23" s="7">
        <v>1.7169955E7</v>
      </c>
      <c r="C23" s="7">
        <v>7948270.0</v>
      </c>
      <c r="E23" s="6">
        <v>6.0</v>
      </c>
      <c r="F23" s="8">
        <f t="shared" si="20"/>
        <v>0.05273317014</v>
      </c>
      <c r="G23" s="8">
        <f t="shared" si="21"/>
        <v>0.05094517948</v>
      </c>
      <c r="H23" s="20">
        <f t="shared" ref="H23:I23" si="27">F23+H22</f>
        <v>0.895304773</v>
      </c>
      <c r="I23" s="20">
        <f t="shared" si="27"/>
        <v>0.9009358551</v>
      </c>
      <c r="K23" s="8">
        <f t="shared" si="23"/>
        <v>0.00000160220082</v>
      </c>
      <c r="L23" s="21">
        <v>1.3860435339308579</v>
      </c>
    </row>
    <row r="24">
      <c r="A24" s="6">
        <v>7.0</v>
      </c>
      <c r="B24" s="7">
        <v>1.347071E7</v>
      </c>
      <c r="C24" s="7">
        <v>6240025.0</v>
      </c>
      <c r="E24" s="6">
        <v>7.0</v>
      </c>
      <c r="F24" s="8">
        <f t="shared" si="20"/>
        <v>0.0413718756</v>
      </c>
      <c r="G24" s="8">
        <f t="shared" si="21"/>
        <v>0.03999602349</v>
      </c>
      <c r="H24" s="20">
        <f t="shared" ref="H24:I24" si="28">F24+H23</f>
        <v>0.9366766486</v>
      </c>
      <c r="I24" s="20">
        <f t="shared" si="28"/>
        <v>0.9409318786</v>
      </c>
      <c r="K24" s="8">
        <f t="shared" si="23"/>
        <v>0.000001257855253</v>
      </c>
      <c r="L24" s="21">
        <v>1.238478193628209</v>
      </c>
    </row>
    <row r="25">
      <c r="A25" s="6">
        <v>8.0</v>
      </c>
      <c r="B25" s="7">
        <v>9381075.0</v>
      </c>
      <c r="C25" s="7">
        <v>4326685.0</v>
      </c>
      <c r="E25" s="6">
        <v>8.0</v>
      </c>
      <c r="F25" s="8">
        <f t="shared" si="20"/>
        <v>0.028811597</v>
      </c>
      <c r="G25" s="8">
        <f t="shared" si="21"/>
        <v>0.02773229192</v>
      </c>
      <c r="H25" s="20">
        <f t="shared" ref="H25:I25" si="29">F25+H24</f>
        <v>0.9654882456</v>
      </c>
      <c r="I25" s="20">
        <f t="shared" si="29"/>
        <v>0.9686641705</v>
      </c>
      <c r="K25" s="8">
        <f t="shared" si="23"/>
        <v>0.0000008721669315</v>
      </c>
      <c r="L25" s="21">
        <v>1.1395193591455273</v>
      </c>
    </row>
    <row r="26">
      <c r="A26" s="6">
        <v>9.0</v>
      </c>
      <c r="B26" s="7">
        <v>7496500.0</v>
      </c>
      <c r="C26" s="7">
        <v>3334100.0</v>
      </c>
      <c r="E26" s="6">
        <v>9.0</v>
      </c>
      <c r="F26" s="8">
        <f t="shared" si="20"/>
        <v>0.02302360198</v>
      </c>
      <c r="G26" s="8">
        <f t="shared" si="21"/>
        <v>0.02137022559</v>
      </c>
      <c r="H26" s="20">
        <f t="shared" ref="H26:I26" si="30">F26+H25</f>
        <v>0.9885118476</v>
      </c>
      <c r="I26" s="20">
        <f t="shared" si="30"/>
        <v>0.9900343961</v>
      </c>
      <c r="K26" s="8">
        <f t="shared" si="23"/>
        <v>0.0000006720830766</v>
      </c>
      <c r="L26" s="21">
        <v>1.0889880952380953</v>
      </c>
    </row>
    <row r="27">
      <c r="A27" s="6">
        <v>10.0</v>
      </c>
      <c r="B27" s="7">
        <v>3740550.0</v>
      </c>
      <c r="C27" s="7">
        <v>1554795.0</v>
      </c>
      <c r="E27" s="6">
        <v>10.0</v>
      </c>
      <c r="F27" s="8">
        <f t="shared" si="20"/>
        <v>0.01148815239</v>
      </c>
      <c r="G27" s="8">
        <f t="shared" si="21"/>
        <v>0.009965603878</v>
      </c>
      <c r="H27" s="20">
        <f t="shared" ref="H27:I27" si="31">F27+H26</f>
        <v>1</v>
      </c>
      <c r="I27" s="20">
        <f t="shared" si="31"/>
        <v>1</v>
      </c>
      <c r="K27" s="8">
        <f t="shared" si="23"/>
        <v>0.000000313413337</v>
      </c>
      <c r="L27" s="21">
        <v>1.0263653483992468</v>
      </c>
    </row>
    <row r="28">
      <c r="A28" s="14" t="s">
        <v>10</v>
      </c>
      <c r="B28" s="15">
        <f t="shared" ref="B28:C28" si="32">SUM(B18:B27)</f>
        <v>325600660</v>
      </c>
      <c r="C28" s="15">
        <f t="shared" si="32"/>
        <v>156016135</v>
      </c>
      <c r="E28" s="14" t="s">
        <v>10</v>
      </c>
      <c r="F28" s="16">
        <f t="shared" si="20"/>
        <v>1</v>
      </c>
      <c r="G28" s="16">
        <f t="shared" si="21"/>
        <v>1</v>
      </c>
      <c r="L28" s="2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6" t="s">
        <v>20</v>
      </c>
      <c r="B2" s="26" t="s">
        <v>1</v>
      </c>
      <c r="C2" s="26" t="s">
        <v>2</v>
      </c>
      <c r="D2" s="26" t="s">
        <v>3</v>
      </c>
      <c r="E2" s="26" t="s">
        <v>4</v>
      </c>
      <c r="F2" s="27" t="s">
        <v>21</v>
      </c>
      <c r="G2" s="28" t="s">
        <v>22</v>
      </c>
      <c r="H2" s="29" t="s">
        <v>23</v>
      </c>
      <c r="I2" s="28" t="s">
        <v>24</v>
      </c>
    </row>
    <row r="3">
      <c r="A3" s="30" t="s">
        <v>25</v>
      </c>
      <c r="B3" s="31">
        <v>2943.0</v>
      </c>
      <c r="C3" s="31">
        <v>3683.0</v>
      </c>
      <c r="D3" s="31">
        <v>2.180398E7</v>
      </c>
      <c r="E3" s="31">
        <v>1.0398135E7</v>
      </c>
      <c r="F3" s="32">
        <f t="shared" ref="F3:F18" si="2">B3/$B$3</f>
        <v>1</v>
      </c>
      <c r="G3" s="33">
        <f t="shared" ref="G3:G18" si="3">D3/B3</f>
        <v>7408.759769</v>
      </c>
      <c r="H3" s="34">
        <f t="shared" ref="H3:I3" si="1">C3/B3</f>
        <v>1.251444105</v>
      </c>
      <c r="I3" s="33">
        <f t="shared" si="1"/>
        <v>5920.168341</v>
      </c>
    </row>
    <row r="4">
      <c r="A4" s="30" t="s">
        <v>26</v>
      </c>
      <c r="B4" s="31">
        <v>346.0</v>
      </c>
      <c r="C4" s="31">
        <v>513.0</v>
      </c>
      <c r="D4" s="31">
        <v>2765015.0</v>
      </c>
      <c r="E4" s="31">
        <v>1386330.0</v>
      </c>
      <c r="F4" s="32">
        <f t="shared" si="2"/>
        <v>0.1175671084</v>
      </c>
      <c r="G4" s="33">
        <f t="shared" si="3"/>
        <v>7991.372832</v>
      </c>
      <c r="H4" s="34">
        <f t="shared" ref="H4:I4" si="4">C4/B4</f>
        <v>1.48265896</v>
      </c>
      <c r="I4" s="33">
        <f t="shared" si="4"/>
        <v>5389.892788</v>
      </c>
    </row>
    <row r="5">
      <c r="A5" s="30" t="s">
        <v>27</v>
      </c>
      <c r="B5" s="31">
        <v>313.0</v>
      </c>
      <c r="C5" s="31">
        <v>451.0</v>
      </c>
      <c r="D5" s="31">
        <v>2352130.0</v>
      </c>
      <c r="E5" s="31">
        <v>1173700.0</v>
      </c>
      <c r="F5" s="32">
        <f t="shared" si="2"/>
        <v>0.1063540605</v>
      </c>
      <c r="G5" s="33">
        <f t="shared" si="3"/>
        <v>7514.792332</v>
      </c>
      <c r="H5" s="34">
        <f t="shared" ref="H5:I5" si="5">C5/B5</f>
        <v>1.440894569</v>
      </c>
      <c r="I5" s="33">
        <f t="shared" si="5"/>
        <v>5215.365854</v>
      </c>
    </row>
    <row r="6">
      <c r="A6" s="30" t="s">
        <v>28</v>
      </c>
      <c r="B6" s="31">
        <v>485.0</v>
      </c>
      <c r="C6" s="31">
        <v>819.0</v>
      </c>
      <c r="D6" s="31">
        <v>4692930.0</v>
      </c>
      <c r="E6" s="31">
        <v>2335300.0</v>
      </c>
      <c r="F6" s="32">
        <f t="shared" si="2"/>
        <v>0.1647978253</v>
      </c>
      <c r="G6" s="33">
        <f t="shared" si="3"/>
        <v>9676.14433</v>
      </c>
      <c r="H6" s="34">
        <f t="shared" ref="H6:I6" si="6">C6/B6</f>
        <v>1.688659794</v>
      </c>
      <c r="I6" s="33">
        <f t="shared" si="6"/>
        <v>5730.07326</v>
      </c>
    </row>
    <row r="7">
      <c r="A7" s="30" t="s">
        <v>29</v>
      </c>
      <c r="B7" s="31">
        <v>296.0</v>
      </c>
      <c r="C7" s="31">
        <v>435.0</v>
      </c>
      <c r="D7" s="31">
        <v>2411530.0</v>
      </c>
      <c r="E7" s="31">
        <v>1161600.0</v>
      </c>
      <c r="F7" s="32">
        <f t="shared" si="2"/>
        <v>0.1005776419</v>
      </c>
      <c r="G7" s="33">
        <f t="shared" si="3"/>
        <v>8147.060811</v>
      </c>
      <c r="H7" s="34">
        <f t="shared" ref="H7:I7" si="7">C7/B7</f>
        <v>1.469594595</v>
      </c>
      <c r="I7" s="33">
        <f t="shared" si="7"/>
        <v>5543.747126</v>
      </c>
    </row>
    <row r="8">
      <c r="A8" s="30" t="s">
        <v>30</v>
      </c>
      <c r="B8" s="31">
        <v>286.0</v>
      </c>
      <c r="C8" s="31">
        <v>453.0</v>
      </c>
      <c r="D8" s="31">
        <v>2186470.0</v>
      </c>
      <c r="E8" s="31">
        <v>1074425.0</v>
      </c>
      <c r="F8" s="32">
        <f t="shared" si="2"/>
        <v>0.09717974856</v>
      </c>
      <c r="G8" s="33">
        <f t="shared" si="3"/>
        <v>7645</v>
      </c>
      <c r="H8" s="34">
        <f t="shared" ref="H8:I8" si="8">C8/B8</f>
        <v>1.583916084</v>
      </c>
      <c r="I8" s="33">
        <f t="shared" si="8"/>
        <v>4826.644592</v>
      </c>
    </row>
    <row r="9">
      <c r="A9" s="30" t="s">
        <v>31</v>
      </c>
      <c r="B9" s="31">
        <v>245.0</v>
      </c>
      <c r="C9" s="31">
        <v>396.0</v>
      </c>
      <c r="D9" s="31">
        <v>2040280.0</v>
      </c>
      <c r="E9" s="31">
        <v>988295.0</v>
      </c>
      <c r="F9" s="32">
        <f t="shared" si="2"/>
        <v>0.083248386</v>
      </c>
      <c r="G9" s="33">
        <f t="shared" si="3"/>
        <v>8327.673469</v>
      </c>
      <c r="H9" s="34">
        <f t="shared" ref="H9:I9" si="9">C9/B9</f>
        <v>1.616326531</v>
      </c>
      <c r="I9" s="33">
        <f t="shared" si="9"/>
        <v>5152.222222</v>
      </c>
    </row>
    <row r="10">
      <c r="A10" s="30" t="s">
        <v>32</v>
      </c>
      <c r="B10" s="31">
        <v>420.0</v>
      </c>
      <c r="C10" s="31">
        <v>808.0</v>
      </c>
      <c r="D10" s="31">
        <v>4619175.0</v>
      </c>
      <c r="E10" s="31">
        <v>2215950.0</v>
      </c>
      <c r="F10" s="32">
        <f t="shared" si="2"/>
        <v>0.1427115189</v>
      </c>
      <c r="G10" s="33">
        <f t="shared" si="3"/>
        <v>10998.03571</v>
      </c>
      <c r="H10" s="34">
        <f t="shared" ref="H10:I10" si="10">C10/B10</f>
        <v>1.923809524</v>
      </c>
      <c r="I10" s="33">
        <f t="shared" si="10"/>
        <v>5716.800743</v>
      </c>
    </row>
    <row r="11">
      <c r="A11" s="30" t="s">
        <v>33</v>
      </c>
      <c r="B11" s="31">
        <v>312.0</v>
      </c>
      <c r="C11" s="31">
        <v>481.0</v>
      </c>
      <c r="D11" s="31">
        <v>2391565.0</v>
      </c>
      <c r="E11" s="31">
        <v>1101815.0</v>
      </c>
      <c r="F11" s="32">
        <f t="shared" si="2"/>
        <v>0.1060142712</v>
      </c>
      <c r="G11" s="33">
        <f t="shared" si="3"/>
        <v>7665.272436</v>
      </c>
      <c r="H11" s="34">
        <f t="shared" ref="H11:I11" si="11">C11/B11</f>
        <v>1.541666667</v>
      </c>
      <c r="I11" s="33">
        <f t="shared" si="11"/>
        <v>4972.068607</v>
      </c>
    </row>
    <row r="12">
      <c r="A12" s="30" t="s">
        <v>34</v>
      </c>
      <c r="B12" s="31">
        <v>281.0</v>
      </c>
      <c r="C12" s="31">
        <v>462.0</v>
      </c>
      <c r="D12" s="31">
        <v>2061895.0</v>
      </c>
      <c r="E12" s="31">
        <v>960080.0</v>
      </c>
      <c r="F12" s="32">
        <f t="shared" si="2"/>
        <v>0.0954808019</v>
      </c>
      <c r="G12" s="33">
        <f t="shared" si="3"/>
        <v>7337.704626</v>
      </c>
      <c r="H12" s="34">
        <f t="shared" ref="H12:I12" si="12">C12/B12</f>
        <v>1.644128114</v>
      </c>
      <c r="I12" s="33">
        <f t="shared" si="12"/>
        <v>4462.97619</v>
      </c>
    </row>
    <row r="13">
      <c r="A13" s="30" t="s">
        <v>35</v>
      </c>
      <c r="B13" s="31">
        <v>220.0</v>
      </c>
      <c r="C13" s="31">
        <v>384.0</v>
      </c>
      <c r="D13" s="31">
        <v>1826220.0</v>
      </c>
      <c r="E13" s="31">
        <v>838310.0</v>
      </c>
      <c r="F13" s="32">
        <f t="shared" si="2"/>
        <v>0.07475365274</v>
      </c>
      <c r="G13" s="33">
        <f t="shared" si="3"/>
        <v>8301</v>
      </c>
      <c r="H13" s="34">
        <f t="shared" ref="H13:I13" si="13">C13/B13</f>
        <v>1.745454545</v>
      </c>
      <c r="I13" s="33">
        <f t="shared" si="13"/>
        <v>4755.78125</v>
      </c>
    </row>
    <row r="14">
      <c r="A14" s="30" t="s">
        <v>36</v>
      </c>
      <c r="B14" s="31">
        <v>358.0</v>
      </c>
      <c r="C14" s="31">
        <v>722.0</v>
      </c>
      <c r="D14" s="31">
        <v>3652880.0</v>
      </c>
      <c r="E14" s="31">
        <v>1726835.0</v>
      </c>
      <c r="F14" s="32">
        <f t="shared" si="2"/>
        <v>0.1216445804</v>
      </c>
      <c r="G14" s="33">
        <f t="shared" si="3"/>
        <v>10203.57542</v>
      </c>
      <c r="H14" s="34">
        <f t="shared" ref="H14:I14" si="14">C14/B14</f>
        <v>2.016759777</v>
      </c>
      <c r="I14" s="33">
        <f t="shared" si="14"/>
        <v>5059.390582</v>
      </c>
    </row>
    <row r="15">
      <c r="A15" s="30" t="s">
        <v>37</v>
      </c>
      <c r="B15" s="31">
        <v>244.0</v>
      </c>
      <c r="C15" s="31">
        <v>397.0</v>
      </c>
      <c r="D15" s="31">
        <v>1945185.0</v>
      </c>
      <c r="E15" s="31">
        <v>908215.0</v>
      </c>
      <c r="F15" s="32">
        <f t="shared" si="2"/>
        <v>0.08290859667</v>
      </c>
      <c r="G15" s="33">
        <f t="shared" si="3"/>
        <v>7972.069672</v>
      </c>
      <c r="H15" s="34">
        <f t="shared" ref="H15:I15" si="15">C15/B15</f>
        <v>1.62704918</v>
      </c>
      <c r="I15" s="33">
        <f t="shared" si="15"/>
        <v>4899.710327</v>
      </c>
    </row>
    <row r="16">
      <c r="A16" s="30" t="s">
        <v>38</v>
      </c>
      <c r="B16" s="31">
        <v>236.0</v>
      </c>
      <c r="C16" s="31">
        <v>390.0</v>
      </c>
      <c r="D16" s="31">
        <v>1882925.0</v>
      </c>
      <c r="E16" s="31">
        <v>884840.0</v>
      </c>
      <c r="F16" s="32">
        <f t="shared" si="2"/>
        <v>0.08019028203</v>
      </c>
      <c r="G16" s="33">
        <f t="shared" si="3"/>
        <v>7978.495763</v>
      </c>
      <c r="H16" s="34">
        <f t="shared" ref="H16:I16" si="16">C16/B16</f>
        <v>1.652542373</v>
      </c>
      <c r="I16" s="33">
        <f t="shared" si="16"/>
        <v>4828.012821</v>
      </c>
    </row>
    <row r="17">
      <c r="A17" s="30" t="s">
        <v>39</v>
      </c>
      <c r="B17" s="31">
        <v>201.0</v>
      </c>
      <c r="C17" s="31">
        <v>338.0</v>
      </c>
      <c r="D17" s="31">
        <v>1504580.0</v>
      </c>
      <c r="E17" s="31">
        <v>703560.0</v>
      </c>
      <c r="F17" s="32">
        <f t="shared" si="2"/>
        <v>0.06829765545</v>
      </c>
      <c r="G17" s="33">
        <f t="shared" si="3"/>
        <v>7485.472637</v>
      </c>
      <c r="H17" s="34">
        <f t="shared" ref="H17:I17" si="17">C17/B17</f>
        <v>1.68159204</v>
      </c>
      <c r="I17" s="33">
        <f t="shared" si="17"/>
        <v>4451.420118</v>
      </c>
    </row>
    <row r="18">
      <c r="A18" s="30" t="s">
        <v>40</v>
      </c>
      <c r="B18" s="31">
        <v>353.0</v>
      </c>
      <c r="C18" s="31">
        <v>657.0</v>
      </c>
      <c r="D18" s="31">
        <v>3447070.0</v>
      </c>
      <c r="E18" s="31">
        <v>1627065.0</v>
      </c>
      <c r="F18" s="32">
        <f t="shared" si="2"/>
        <v>0.1199456337</v>
      </c>
      <c r="G18" s="33">
        <f t="shared" si="3"/>
        <v>9765.070822</v>
      </c>
      <c r="H18" s="34">
        <f t="shared" ref="H18:I18" si="18">C18/B18</f>
        <v>1.861189802</v>
      </c>
      <c r="I18" s="33">
        <f t="shared" si="18"/>
        <v>5246.681887</v>
      </c>
    </row>
    <row r="19">
      <c r="I19" s="35"/>
    </row>
    <row r="20">
      <c r="I20" s="3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41</v>
      </c>
      <c r="B1" s="37"/>
      <c r="C1" s="37"/>
      <c r="D1" s="37"/>
      <c r="E1" s="37"/>
      <c r="F1" s="38"/>
      <c r="G1" s="37"/>
      <c r="H1" s="39"/>
      <c r="I1" s="37"/>
      <c r="J1" s="37"/>
      <c r="K1" s="37"/>
      <c r="L1" s="36" t="s">
        <v>42</v>
      </c>
      <c r="M1" s="37"/>
      <c r="N1" s="37"/>
      <c r="O1" s="37"/>
      <c r="P1" s="37"/>
      <c r="Q1" s="38"/>
      <c r="R1" s="37"/>
      <c r="S1" s="39"/>
      <c r="T1" s="37"/>
      <c r="U1" s="37"/>
      <c r="V1" s="37"/>
      <c r="W1" s="36" t="s">
        <v>43</v>
      </c>
      <c r="X1" s="37"/>
      <c r="Y1" s="37"/>
      <c r="Z1" s="37"/>
      <c r="AA1" s="37"/>
      <c r="AB1" s="38"/>
      <c r="AC1" s="40"/>
      <c r="AD1" s="39"/>
      <c r="AE1" s="40"/>
    </row>
    <row r="2">
      <c r="A2" s="41" t="s">
        <v>20</v>
      </c>
      <c r="B2" s="41" t="s">
        <v>1</v>
      </c>
      <c r="C2" s="41" t="s">
        <v>2</v>
      </c>
      <c r="D2" s="41" t="s">
        <v>44</v>
      </c>
      <c r="E2" s="41" t="s">
        <v>45</v>
      </c>
      <c r="F2" s="42" t="s">
        <v>21</v>
      </c>
      <c r="G2" s="43" t="s">
        <v>22</v>
      </c>
      <c r="H2" s="44" t="s">
        <v>23</v>
      </c>
      <c r="I2" s="43" t="s">
        <v>24</v>
      </c>
      <c r="J2" s="37"/>
      <c r="K2" s="37"/>
      <c r="L2" s="41" t="s">
        <v>20</v>
      </c>
      <c r="M2" s="41" t="s">
        <v>1</v>
      </c>
      <c r="N2" s="41" t="s">
        <v>2</v>
      </c>
      <c r="O2" s="41" t="s">
        <v>46</v>
      </c>
      <c r="P2" s="41" t="s">
        <v>47</v>
      </c>
      <c r="Q2" s="42" t="s">
        <v>21</v>
      </c>
      <c r="R2" s="43" t="s">
        <v>22</v>
      </c>
      <c r="S2" s="44" t="s">
        <v>23</v>
      </c>
      <c r="T2" s="43" t="s">
        <v>24</v>
      </c>
      <c r="U2" s="37"/>
      <c r="V2" s="37"/>
      <c r="W2" s="41" t="s">
        <v>20</v>
      </c>
      <c r="X2" s="41" t="s">
        <v>1</v>
      </c>
      <c r="Y2" s="41" t="s">
        <v>2</v>
      </c>
      <c r="Z2" s="41" t="s">
        <v>48</v>
      </c>
      <c r="AA2" s="41" t="s">
        <v>49</v>
      </c>
      <c r="AB2" s="42" t="s">
        <v>21</v>
      </c>
      <c r="AC2" s="45" t="s">
        <v>22</v>
      </c>
      <c r="AD2" s="44" t="s">
        <v>23</v>
      </c>
      <c r="AE2" s="45" t="s">
        <v>24</v>
      </c>
    </row>
    <row r="3">
      <c r="A3" s="46" t="s">
        <v>27</v>
      </c>
      <c r="B3" s="46">
        <v>2842.0</v>
      </c>
      <c r="C3" s="46">
        <v>3593.0</v>
      </c>
      <c r="D3" s="46">
        <v>1.8866045E7</v>
      </c>
      <c r="E3" s="46">
        <v>9389215.0</v>
      </c>
      <c r="F3" s="47">
        <f t="shared" ref="F3:F16" si="2">B3/$B$3</f>
        <v>1</v>
      </c>
      <c r="G3" s="48">
        <f t="shared" ref="G3:G16" si="3">D3/B3</f>
        <v>6638.298733</v>
      </c>
      <c r="H3" s="49">
        <f t="shared" ref="H3:I3" si="1">C3/B3</f>
        <v>1.264250528</v>
      </c>
      <c r="I3" s="48">
        <f t="shared" si="1"/>
        <v>5250.777901</v>
      </c>
      <c r="J3" s="37"/>
      <c r="K3" s="37"/>
      <c r="L3" s="50"/>
      <c r="M3" s="50"/>
      <c r="N3" s="50"/>
      <c r="O3" s="46">
        <v>0.0</v>
      </c>
      <c r="P3" s="46">
        <v>0.0</v>
      </c>
      <c r="Q3" s="51"/>
      <c r="R3" s="50"/>
      <c r="S3" s="52"/>
      <c r="T3" s="50"/>
      <c r="U3" s="37"/>
      <c r="V3" s="37"/>
      <c r="W3" s="50"/>
      <c r="X3" s="50"/>
      <c r="Y3" s="50"/>
      <c r="Z3" s="46">
        <v>0.0</v>
      </c>
      <c r="AA3" s="46">
        <v>0.0</v>
      </c>
      <c r="AB3" s="51"/>
      <c r="AC3" s="53"/>
      <c r="AD3" s="52"/>
      <c r="AE3" s="53"/>
    </row>
    <row r="4">
      <c r="A4" s="46" t="s">
        <v>28</v>
      </c>
      <c r="B4" s="46">
        <v>529.0</v>
      </c>
      <c r="C4" s="46">
        <v>818.0</v>
      </c>
      <c r="D4" s="46">
        <v>4377010.0</v>
      </c>
      <c r="E4" s="46">
        <v>2173325.0</v>
      </c>
      <c r="F4" s="47">
        <f t="shared" si="2"/>
        <v>0.1861365236</v>
      </c>
      <c r="G4" s="48">
        <f t="shared" si="3"/>
        <v>8274.120983</v>
      </c>
      <c r="H4" s="49">
        <f t="shared" ref="H4:I4" si="4">C4/B4</f>
        <v>1.5463138</v>
      </c>
      <c r="I4" s="48">
        <f t="shared" si="4"/>
        <v>5350.867971</v>
      </c>
      <c r="J4" s="37"/>
      <c r="K4" s="37"/>
      <c r="L4" s="46" t="s">
        <v>28</v>
      </c>
      <c r="M4" s="46">
        <v>6161.0</v>
      </c>
      <c r="N4" s="46">
        <v>7980.0</v>
      </c>
      <c r="O4" s="46">
        <v>5.0815985E7</v>
      </c>
      <c r="P4" s="46">
        <v>2.616405E7</v>
      </c>
      <c r="Q4" s="47">
        <f t="shared" ref="Q4:Q16" si="7">M4/$M$4</f>
        <v>1</v>
      </c>
      <c r="R4" s="48">
        <f t="shared" ref="R4:R16" si="8">O4/M4</f>
        <v>8248.009252</v>
      </c>
      <c r="S4" s="49">
        <f t="shared" ref="S4:T4" si="5">N4/M4</f>
        <v>1.295244279</v>
      </c>
      <c r="T4" s="48">
        <f t="shared" si="5"/>
        <v>6367.91792</v>
      </c>
      <c r="U4" s="37"/>
      <c r="V4" s="37"/>
      <c r="W4" s="50"/>
      <c r="X4" s="50"/>
      <c r="Y4" s="50"/>
      <c r="Z4" s="46">
        <v>0.0</v>
      </c>
      <c r="AA4" s="46">
        <v>0.0</v>
      </c>
      <c r="AB4" s="51"/>
      <c r="AC4" s="53"/>
      <c r="AD4" s="52"/>
      <c r="AE4" s="53"/>
    </row>
    <row r="5">
      <c r="A5" s="46" t="s">
        <v>29</v>
      </c>
      <c r="B5" s="46">
        <v>237.0</v>
      </c>
      <c r="C5" s="46">
        <v>325.0</v>
      </c>
      <c r="D5" s="46">
        <v>1908940.0</v>
      </c>
      <c r="E5" s="46">
        <v>942755.0</v>
      </c>
      <c r="F5" s="47">
        <f t="shared" si="2"/>
        <v>0.08339197748</v>
      </c>
      <c r="G5" s="48">
        <f t="shared" si="3"/>
        <v>8054.599156</v>
      </c>
      <c r="H5" s="49">
        <f t="shared" ref="H5:I5" si="6">C5/B5</f>
        <v>1.371308017</v>
      </c>
      <c r="I5" s="48">
        <f t="shared" si="6"/>
        <v>5873.661538</v>
      </c>
      <c r="J5" s="37"/>
      <c r="K5" s="37"/>
      <c r="L5" s="46" t="s">
        <v>29</v>
      </c>
      <c r="M5" s="46">
        <v>619.0</v>
      </c>
      <c r="N5" s="46">
        <v>939.0</v>
      </c>
      <c r="O5" s="46">
        <v>5396435.0</v>
      </c>
      <c r="P5" s="46">
        <v>2596110.0</v>
      </c>
      <c r="Q5" s="47">
        <f t="shared" si="7"/>
        <v>0.1004707028</v>
      </c>
      <c r="R5" s="48">
        <f t="shared" si="8"/>
        <v>8717.988691</v>
      </c>
      <c r="S5" s="49">
        <f t="shared" ref="S5:T5" si="9">N5/M5</f>
        <v>1.516962843</v>
      </c>
      <c r="T5" s="48">
        <f t="shared" si="9"/>
        <v>5747.00213</v>
      </c>
      <c r="U5" s="37"/>
      <c r="V5" s="37"/>
      <c r="W5" s="50"/>
      <c r="X5" s="50"/>
      <c r="Y5" s="50"/>
      <c r="Z5" s="46">
        <v>0.0</v>
      </c>
      <c r="AA5" s="46">
        <v>0.0</v>
      </c>
      <c r="AB5" s="51"/>
      <c r="AC5" s="53"/>
      <c r="AD5" s="52"/>
      <c r="AE5" s="53"/>
    </row>
    <row r="6">
      <c r="A6" s="46" t="s">
        <v>30</v>
      </c>
      <c r="B6" s="46">
        <v>318.0</v>
      </c>
      <c r="C6" s="46">
        <v>467.0</v>
      </c>
      <c r="D6" s="46">
        <v>2357300.0</v>
      </c>
      <c r="E6" s="46">
        <v>1154450.0</v>
      </c>
      <c r="F6" s="47">
        <f t="shared" si="2"/>
        <v>0.1118930331</v>
      </c>
      <c r="G6" s="48">
        <f t="shared" si="3"/>
        <v>7412.893082</v>
      </c>
      <c r="H6" s="49">
        <f t="shared" ref="H6:I6" si="10">C6/B6</f>
        <v>1.468553459</v>
      </c>
      <c r="I6" s="48">
        <f t="shared" si="10"/>
        <v>5047.751606</v>
      </c>
      <c r="J6" s="37"/>
      <c r="K6" s="37"/>
      <c r="L6" s="46" t="s">
        <v>30</v>
      </c>
      <c r="M6" s="46">
        <v>546.0</v>
      </c>
      <c r="N6" s="46">
        <v>855.0</v>
      </c>
      <c r="O6" s="46">
        <v>4014505.0</v>
      </c>
      <c r="P6" s="46">
        <v>1990010.0</v>
      </c>
      <c r="Q6" s="47">
        <f t="shared" si="7"/>
        <v>0.08862197695</v>
      </c>
      <c r="R6" s="48">
        <f t="shared" si="8"/>
        <v>7352.57326</v>
      </c>
      <c r="S6" s="49">
        <f t="shared" ref="S6:T6" si="11">N6/M6</f>
        <v>1.565934066</v>
      </c>
      <c r="T6" s="48">
        <f t="shared" si="11"/>
        <v>4695.327485</v>
      </c>
      <c r="U6" s="37"/>
      <c r="V6" s="37"/>
      <c r="W6" s="50"/>
      <c r="X6" s="50"/>
      <c r="Y6" s="50"/>
      <c r="Z6" s="46">
        <v>0.0</v>
      </c>
      <c r="AA6" s="46">
        <v>0.0</v>
      </c>
      <c r="AB6" s="51"/>
      <c r="AC6" s="53"/>
      <c r="AD6" s="52"/>
      <c r="AE6" s="53"/>
    </row>
    <row r="7">
      <c r="A7" s="46" t="s">
        <v>31</v>
      </c>
      <c r="B7" s="46">
        <v>317.0</v>
      </c>
      <c r="C7" s="46">
        <v>468.0</v>
      </c>
      <c r="D7" s="46">
        <v>2213530.0</v>
      </c>
      <c r="E7" s="46">
        <v>1063370.0</v>
      </c>
      <c r="F7" s="47">
        <f t="shared" si="2"/>
        <v>0.1115411682</v>
      </c>
      <c r="G7" s="48">
        <f t="shared" si="3"/>
        <v>6982.744479</v>
      </c>
      <c r="H7" s="49">
        <f t="shared" ref="H7:I7" si="12">C7/B7</f>
        <v>1.476340694</v>
      </c>
      <c r="I7" s="48">
        <f t="shared" si="12"/>
        <v>4729.764957</v>
      </c>
      <c r="J7" s="37"/>
      <c r="K7" s="37"/>
      <c r="L7" s="46" t="s">
        <v>31</v>
      </c>
      <c r="M7" s="46">
        <v>451.0</v>
      </c>
      <c r="N7" s="46">
        <v>696.0</v>
      </c>
      <c r="O7" s="46">
        <v>3515930.0</v>
      </c>
      <c r="P7" s="46">
        <v>1742015.0</v>
      </c>
      <c r="Q7" s="47">
        <f t="shared" si="7"/>
        <v>0.07320240221</v>
      </c>
      <c r="R7" s="48">
        <f t="shared" si="8"/>
        <v>7795.853659</v>
      </c>
      <c r="S7" s="49">
        <f t="shared" ref="S7:T7" si="13">N7/M7</f>
        <v>1.543237251</v>
      </c>
      <c r="T7" s="48">
        <f t="shared" si="13"/>
        <v>5051.623563</v>
      </c>
      <c r="U7" s="37"/>
      <c r="V7" s="37"/>
      <c r="W7" s="50"/>
      <c r="X7" s="50"/>
      <c r="Y7" s="50"/>
      <c r="Z7" s="46">
        <v>0.0</v>
      </c>
      <c r="AA7" s="46">
        <v>0.0</v>
      </c>
      <c r="AB7" s="51"/>
      <c r="AC7" s="53"/>
      <c r="AD7" s="52"/>
      <c r="AE7" s="53"/>
    </row>
    <row r="8">
      <c r="A8" s="46" t="s">
        <v>32</v>
      </c>
      <c r="B8" s="46">
        <v>366.0</v>
      </c>
      <c r="C8" s="46">
        <v>615.0</v>
      </c>
      <c r="D8" s="46">
        <v>3017685.0</v>
      </c>
      <c r="E8" s="46">
        <v>1435610.0</v>
      </c>
      <c r="F8" s="47">
        <f t="shared" si="2"/>
        <v>0.1287825475</v>
      </c>
      <c r="G8" s="48">
        <f t="shared" si="3"/>
        <v>8245.040984</v>
      </c>
      <c r="H8" s="49">
        <f t="shared" ref="H8:I8" si="14">C8/B8</f>
        <v>1.680327869</v>
      </c>
      <c r="I8" s="48">
        <f t="shared" si="14"/>
        <v>4906.804878</v>
      </c>
      <c r="J8" s="37"/>
      <c r="K8" s="37"/>
      <c r="L8" s="46" t="s">
        <v>32</v>
      </c>
      <c r="M8" s="46">
        <v>939.0</v>
      </c>
      <c r="N8" s="46">
        <v>1579.0</v>
      </c>
      <c r="O8" s="46">
        <v>8754185.0</v>
      </c>
      <c r="P8" s="46">
        <v>4264700.0</v>
      </c>
      <c r="Q8" s="47">
        <f t="shared" si="7"/>
        <v>0.152410323</v>
      </c>
      <c r="R8" s="48">
        <f t="shared" si="8"/>
        <v>9322.880724</v>
      </c>
      <c r="S8" s="49">
        <f t="shared" ref="S8:T8" si="15">N8/M8</f>
        <v>1.681576145</v>
      </c>
      <c r="T8" s="48">
        <f t="shared" si="15"/>
        <v>5544.132362</v>
      </c>
      <c r="U8" s="37"/>
      <c r="V8" s="37"/>
      <c r="W8" s="46" t="s">
        <v>32</v>
      </c>
      <c r="X8" s="46">
        <v>5881.0</v>
      </c>
      <c r="Y8" s="46">
        <v>7651.0</v>
      </c>
      <c r="Z8" s="46">
        <v>4.608989E7</v>
      </c>
      <c r="AA8" s="46">
        <v>2.257783E7</v>
      </c>
      <c r="AB8" s="54">
        <f t="shared" ref="AB8:AB16" si="19">Y8/$Y$8</f>
        <v>1</v>
      </c>
      <c r="AC8" s="55">
        <f t="shared" ref="AC8:AC16" si="20">Z8/X8</f>
        <v>7837.083829</v>
      </c>
      <c r="AD8" s="56">
        <f t="shared" ref="AD8:AE8" si="16">Y8/X8</f>
        <v>1.300969223</v>
      </c>
      <c r="AE8" s="55">
        <f t="shared" si="16"/>
        <v>6024.034767</v>
      </c>
    </row>
    <row r="9">
      <c r="A9" s="46" t="s">
        <v>33</v>
      </c>
      <c r="B9" s="46">
        <v>234.0</v>
      </c>
      <c r="C9" s="46">
        <v>339.0</v>
      </c>
      <c r="D9" s="46">
        <v>1575365.0</v>
      </c>
      <c r="E9" s="46">
        <v>740795.0</v>
      </c>
      <c r="F9" s="47">
        <f t="shared" si="2"/>
        <v>0.08233638283</v>
      </c>
      <c r="G9" s="48">
        <f t="shared" si="3"/>
        <v>6732.32906</v>
      </c>
      <c r="H9" s="49">
        <f t="shared" ref="H9:I9" si="17">C9/B9</f>
        <v>1.448717949</v>
      </c>
      <c r="I9" s="48">
        <f t="shared" si="17"/>
        <v>4647.094395</v>
      </c>
      <c r="J9" s="37"/>
      <c r="K9" s="37"/>
      <c r="L9" s="46" t="s">
        <v>33</v>
      </c>
      <c r="M9" s="46">
        <v>418.0</v>
      </c>
      <c r="N9" s="46">
        <v>687.0</v>
      </c>
      <c r="O9" s="46">
        <v>3430020.0</v>
      </c>
      <c r="P9" s="46">
        <v>1596375.0</v>
      </c>
      <c r="Q9" s="47">
        <f t="shared" si="7"/>
        <v>0.06784612888</v>
      </c>
      <c r="R9" s="48">
        <f t="shared" si="8"/>
        <v>8205.789474</v>
      </c>
      <c r="S9" s="49">
        <f t="shared" ref="S9:T9" si="18">N9/M9</f>
        <v>1.64354067</v>
      </c>
      <c r="T9" s="48">
        <f t="shared" si="18"/>
        <v>4992.751092</v>
      </c>
      <c r="U9" s="37"/>
      <c r="V9" s="37"/>
      <c r="W9" s="46" t="s">
        <v>33</v>
      </c>
      <c r="X9" s="46">
        <v>690.0</v>
      </c>
      <c r="Y9" s="46">
        <v>1011.0</v>
      </c>
      <c r="Z9" s="46">
        <v>5531845.0</v>
      </c>
      <c r="AA9" s="46">
        <v>2540340.0</v>
      </c>
      <c r="AB9" s="54">
        <f t="shared" si="19"/>
        <v>0.1321395896</v>
      </c>
      <c r="AC9" s="55">
        <f t="shared" si="20"/>
        <v>8017.166667</v>
      </c>
      <c r="AD9" s="56">
        <f t="shared" ref="AD9:AE9" si="21">Y9/X9</f>
        <v>1.465217391</v>
      </c>
      <c r="AE9" s="55">
        <f t="shared" si="21"/>
        <v>5471.656775</v>
      </c>
    </row>
    <row r="10">
      <c r="A10" s="46" t="s">
        <v>34</v>
      </c>
      <c r="B10" s="46">
        <v>254.0</v>
      </c>
      <c r="C10" s="46">
        <v>408.0</v>
      </c>
      <c r="D10" s="46">
        <v>1804770.0</v>
      </c>
      <c r="E10" s="46">
        <v>868560.0</v>
      </c>
      <c r="F10" s="47">
        <f t="shared" si="2"/>
        <v>0.08937368051</v>
      </c>
      <c r="G10" s="48">
        <f t="shared" si="3"/>
        <v>7105.393701</v>
      </c>
      <c r="H10" s="49">
        <f t="shared" ref="H10:I10" si="22">C10/B10</f>
        <v>1.606299213</v>
      </c>
      <c r="I10" s="48">
        <f t="shared" si="22"/>
        <v>4423.455882</v>
      </c>
      <c r="J10" s="37"/>
      <c r="K10" s="37"/>
      <c r="L10" s="46" t="s">
        <v>34</v>
      </c>
      <c r="M10" s="46">
        <v>442.0</v>
      </c>
      <c r="N10" s="46">
        <v>738.0</v>
      </c>
      <c r="O10" s="46">
        <v>3375460.0</v>
      </c>
      <c r="P10" s="46">
        <v>1614635.0</v>
      </c>
      <c r="Q10" s="47">
        <f t="shared" si="7"/>
        <v>0.07174160039</v>
      </c>
      <c r="R10" s="48">
        <f t="shared" si="8"/>
        <v>7636.78733</v>
      </c>
      <c r="S10" s="49">
        <f t="shared" ref="S10:T10" si="23">N10/M10</f>
        <v>1.669683258</v>
      </c>
      <c r="T10" s="48">
        <f t="shared" si="23"/>
        <v>4573.794038</v>
      </c>
      <c r="U10" s="37"/>
      <c r="V10" s="37"/>
      <c r="W10" s="46" t="s">
        <v>34</v>
      </c>
      <c r="X10" s="46">
        <v>473.0</v>
      </c>
      <c r="Y10" s="46">
        <v>675.0</v>
      </c>
      <c r="Z10" s="46">
        <v>3571370.0</v>
      </c>
      <c r="AA10" s="46">
        <v>1677170.0</v>
      </c>
      <c r="AB10" s="54">
        <f t="shared" si="19"/>
        <v>0.0882237616</v>
      </c>
      <c r="AC10" s="55">
        <f t="shared" si="20"/>
        <v>7550.465116</v>
      </c>
      <c r="AD10" s="56">
        <f t="shared" ref="AD10:AE10" si="24">Y10/X10</f>
        <v>1.427061311</v>
      </c>
      <c r="AE10" s="55">
        <f t="shared" si="24"/>
        <v>5290.918519</v>
      </c>
    </row>
    <row r="11">
      <c r="A11" s="46" t="s">
        <v>35</v>
      </c>
      <c r="B11" s="46">
        <v>269.0</v>
      </c>
      <c r="C11" s="46">
        <v>385.0</v>
      </c>
      <c r="D11" s="46">
        <v>1582735.0</v>
      </c>
      <c r="E11" s="46">
        <v>742940.0</v>
      </c>
      <c r="F11" s="47">
        <f t="shared" si="2"/>
        <v>0.09465165376</v>
      </c>
      <c r="G11" s="48">
        <f t="shared" si="3"/>
        <v>5883.773234</v>
      </c>
      <c r="H11" s="49">
        <f t="shared" ref="H11:I11" si="25">C11/B11</f>
        <v>1.431226766</v>
      </c>
      <c r="I11" s="48">
        <f t="shared" si="25"/>
        <v>4111</v>
      </c>
      <c r="J11" s="37"/>
      <c r="K11" s="37"/>
      <c r="L11" s="46" t="s">
        <v>35</v>
      </c>
      <c r="M11" s="46">
        <v>430.0</v>
      </c>
      <c r="N11" s="46">
        <v>731.0</v>
      </c>
      <c r="O11" s="46">
        <v>3476385.0</v>
      </c>
      <c r="P11" s="46">
        <v>1640210.0</v>
      </c>
      <c r="Q11" s="47">
        <f t="shared" si="7"/>
        <v>0.06979386463</v>
      </c>
      <c r="R11" s="48">
        <f t="shared" si="8"/>
        <v>8084.616279</v>
      </c>
      <c r="S11" s="49">
        <f t="shared" ref="S11:T11" si="26">N11/M11</f>
        <v>1.7</v>
      </c>
      <c r="T11" s="48">
        <f t="shared" si="26"/>
        <v>4755.656635</v>
      </c>
      <c r="U11" s="37"/>
      <c r="V11" s="37"/>
      <c r="W11" s="46" t="s">
        <v>35</v>
      </c>
      <c r="X11" s="46">
        <v>420.0</v>
      </c>
      <c r="Y11" s="46">
        <v>601.0</v>
      </c>
      <c r="Z11" s="46">
        <v>2838000.0</v>
      </c>
      <c r="AA11" s="46">
        <v>1371040.0</v>
      </c>
      <c r="AB11" s="54">
        <f t="shared" si="19"/>
        <v>0.07855182329</v>
      </c>
      <c r="AC11" s="55">
        <f t="shared" si="20"/>
        <v>6757.142857</v>
      </c>
      <c r="AD11" s="56">
        <f t="shared" ref="AD11:AE11" si="27">Y11/X11</f>
        <v>1.430952381</v>
      </c>
      <c r="AE11" s="55">
        <f t="shared" si="27"/>
        <v>4722.129784</v>
      </c>
    </row>
    <row r="12">
      <c r="A12" s="46" t="s">
        <v>36</v>
      </c>
      <c r="B12" s="46">
        <v>358.0</v>
      </c>
      <c r="C12" s="46">
        <v>625.0</v>
      </c>
      <c r="D12" s="46">
        <v>3222065.0</v>
      </c>
      <c r="E12" s="46">
        <v>1519155.0</v>
      </c>
      <c r="F12" s="47">
        <f t="shared" si="2"/>
        <v>0.1259676284</v>
      </c>
      <c r="G12" s="48">
        <f t="shared" si="3"/>
        <v>9000.181564</v>
      </c>
      <c r="H12" s="49">
        <f t="shared" ref="H12:I12" si="28">C12/B12</f>
        <v>1.745810056</v>
      </c>
      <c r="I12" s="48">
        <f t="shared" si="28"/>
        <v>5155.304</v>
      </c>
      <c r="J12" s="37"/>
      <c r="K12" s="37"/>
      <c r="L12" s="46" t="s">
        <v>36</v>
      </c>
      <c r="M12" s="46">
        <v>885.0</v>
      </c>
      <c r="N12" s="46">
        <v>1542.0</v>
      </c>
      <c r="O12" s="46">
        <v>8510590.0</v>
      </c>
      <c r="P12" s="46">
        <v>4095850.0</v>
      </c>
      <c r="Q12" s="47">
        <f t="shared" si="7"/>
        <v>0.1436455121</v>
      </c>
      <c r="R12" s="48">
        <f t="shared" si="8"/>
        <v>9616.485876</v>
      </c>
      <c r="S12" s="49">
        <f t="shared" ref="S12:T12" si="29">N12/M12</f>
        <v>1.742372881</v>
      </c>
      <c r="T12" s="48">
        <f t="shared" si="29"/>
        <v>5519.189364</v>
      </c>
      <c r="U12" s="37"/>
      <c r="V12" s="37"/>
      <c r="W12" s="46" t="s">
        <v>36</v>
      </c>
      <c r="X12" s="46">
        <v>999.0</v>
      </c>
      <c r="Y12" s="46">
        <v>1660.0</v>
      </c>
      <c r="Z12" s="46">
        <v>8927160.0</v>
      </c>
      <c r="AA12" s="46">
        <v>4306665.0</v>
      </c>
      <c r="AB12" s="54">
        <f t="shared" si="19"/>
        <v>0.2169651026</v>
      </c>
      <c r="AC12" s="55">
        <f t="shared" si="20"/>
        <v>8936.096096</v>
      </c>
      <c r="AD12" s="56">
        <f t="shared" ref="AD12:AE12" si="30">Y12/X12</f>
        <v>1.661661662</v>
      </c>
      <c r="AE12" s="55">
        <f t="shared" si="30"/>
        <v>5377.807229</v>
      </c>
    </row>
    <row r="13">
      <c r="A13" s="46" t="s">
        <v>37</v>
      </c>
      <c r="B13" s="46">
        <v>220.0</v>
      </c>
      <c r="C13" s="46">
        <v>323.0</v>
      </c>
      <c r="D13" s="46">
        <v>1638945.0</v>
      </c>
      <c r="E13" s="46">
        <v>766755.0</v>
      </c>
      <c r="F13" s="47">
        <f t="shared" si="2"/>
        <v>0.07741027445</v>
      </c>
      <c r="G13" s="48">
        <f t="shared" si="3"/>
        <v>7449.75</v>
      </c>
      <c r="H13" s="49">
        <f t="shared" ref="H13:I13" si="31">C13/B13</f>
        <v>1.468181818</v>
      </c>
      <c r="I13" s="48">
        <f t="shared" si="31"/>
        <v>5074.133127</v>
      </c>
      <c r="J13" s="37"/>
      <c r="K13" s="37"/>
      <c r="L13" s="46" t="s">
        <v>37</v>
      </c>
      <c r="M13" s="46">
        <v>381.0</v>
      </c>
      <c r="N13" s="46">
        <v>625.0</v>
      </c>
      <c r="O13" s="46">
        <v>3439535.0</v>
      </c>
      <c r="P13" s="46">
        <v>1651705.0</v>
      </c>
      <c r="Q13" s="47">
        <f t="shared" si="7"/>
        <v>0.06184061029</v>
      </c>
      <c r="R13" s="48">
        <f t="shared" si="8"/>
        <v>9027.650919</v>
      </c>
      <c r="S13" s="49">
        <f t="shared" ref="S13:T13" si="32">N13/M13</f>
        <v>1.640419948</v>
      </c>
      <c r="T13" s="48">
        <f t="shared" si="32"/>
        <v>5503.256</v>
      </c>
      <c r="U13" s="37"/>
      <c r="V13" s="37"/>
      <c r="W13" s="46" t="s">
        <v>37</v>
      </c>
      <c r="X13" s="46">
        <v>387.0</v>
      </c>
      <c r="Y13" s="46">
        <v>562.0</v>
      </c>
      <c r="Z13" s="46">
        <v>3135275.0</v>
      </c>
      <c r="AA13" s="46">
        <v>1509805.0</v>
      </c>
      <c r="AB13" s="54">
        <f t="shared" si="19"/>
        <v>0.0734544504</v>
      </c>
      <c r="AC13" s="55">
        <f t="shared" si="20"/>
        <v>8101.485788</v>
      </c>
      <c r="AD13" s="56">
        <f t="shared" ref="AD13:AE13" si="33">Y13/X13</f>
        <v>1.452196382</v>
      </c>
      <c r="AE13" s="55">
        <f t="shared" si="33"/>
        <v>5578.781139</v>
      </c>
    </row>
    <row r="14">
      <c r="A14" s="46" t="s">
        <v>38</v>
      </c>
      <c r="B14" s="46">
        <v>224.0</v>
      </c>
      <c r="C14" s="46">
        <v>338.0</v>
      </c>
      <c r="D14" s="46">
        <v>1742675.0</v>
      </c>
      <c r="E14" s="46">
        <v>828905.0</v>
      </c>
      <c r="F14" s="47">
        <f t="shared" si="2"/>
        <v>0.07881773399</v>
      </c>
      <c r="G14" s="48">
        <f t="shared" si="3"/>
        <v>7779.799107</v>
      </c>
      <c r="H14" s="49">
        <f t="shared" ref="H14:I14" si="34">C14/B14</f>
        <v>1.508928571</v>
      </c>
      <c r="I14" s="48">
        <f t="shared" si="34"/>
        <v>5155.843195</v>
      </c>
      <c r="J14" s="37"/>
      <c r="K14" s="37"/>
      <c r="L14" s="46" t="s">
        <v>38</v>
      </c>
      <c r="M14" s="46">
        <v>384.0</v>
      </c>
      <c r="N14" s="46">
        <v>654.0</v>
      </c>
      <c r="O14" s="46">
        <v>3467475.0</v>
      </c>
      <c r="P14" s="46">
        <v>1650495.0</v>
      </c>
      <c r="Q14" s="47">
        <f t="shared" si="7"/>
        <v>0.06232754423</v>
      </c>
      <c r="R14" s="48">
        <f t="shared" si="8"/>
        <v>9029.882813</v>
      </c>
      <c r="S14" s="49">
        <f t="shared" ref="S14:T14" si="35">N14/M14</f>
        <v>1.703125</v>
      </c>
      <c r="T14" s="48">
        <f t="shared" si="35"/>
        <v>5301.949541</v>
      </c>
      <c r="U14" s="37"/>
      <c r="V14" s="37"/>
      <c r="W14" s="46" t="s">
        <v>38</v>
      </c>
      <c r="X14" s="46">
        <v>343.0</v>
      </c>
      <c r="Y14" s="46">
        <v>522.0</v>
      </c>
      <c r="Z14" s="46">
        <v>2546775.0</v>
      </c>
      <c r="AA14" s="46">
        <v>1241075.0</v>
      </c>
      <c r="AB14" s="54">
        <f t="shared" si="19"/>
        <v>0.06822637564</v>
      </c>
      <c r="AC14" s="55">
        <f t="shared" si="20"/>
        <v>7425</v>
      </c>
      <c r="AD14" s="56">
        <f t="shared" ref="AD14:AE14" si="36">Y14/X14</f>
        <v>1.521865889</v>
      </c>
      <c r="AE14" s="55">
        <f t="shared" si="36"/>
        <v>4878.87931</v>
      </c>
    </row>
    <row r="15">
      <c r="A15" s="46" t="s">
        <v>39</v>
      </c>
      <c r="B15" s="46">
        <v>230.0</v>
      </c>
      <c r="C15" s="46">
        <v>349.0</v>
      </c>
      <c r="D15" s="46">
        <v>1446720.0</v>
      </c>
      <c r="E15" s="46">
        <v>692780.0</v>
      </c>
      <c r="F15" s="47">
        <f t="shared" si="2"/>
        <v>0.08092892329</v>
      </c>
      <c r="G15" s="48">
        <f t="shared" si="3"/>
        <v>6290.086957</v>
      </c>
      <c r="H15" s="49">
        <f t="shared" ref="H15:I15" si="37">C15/B15</f>
        <v>1.517391304</v>
      </c>
      <c r="I15" s="48">
        <f t="shared" si="37"/>
        <v>4145.329513</v>
      </c>
      <c r="J15" s="37"/>
      <c r="K15" s="37"/>
      <c r="L15" s="46" t="s">
        <v>39</v>
      </c>
      <c r="M15" s="46">
        <v>351.0</v>
      </c>
      <c r="N15" s="46">
        <v>561.0</v>
      </c>
      <c r="O15" s="46">
        <v>2413840.0</v>
      </c>
      <c r="P15" s="46">
        <v>1158025.0</v>
      </c>
      <c r="Q15" s="47">
        <f t="shared" si="7"/>
        <v>0.0569712709</v>
      </c>
      <c r="R15" s="48">
        <f t="shared" si="8"/>
        <v>6877.037037</v>
      </c>
      <c r="S15" s="49">
        <f t="shared" ref="S15:T15" si="38">N15/M15</f>
        <v>1.598290598</v>
      </c>
      <c r="T15" s="48">
        <f t="shared" si="38"/>
        <v>4302.745098</v>
      </c>
      <c r="U15" s="37"/>
      <c r="V15" s="37"/>
      <c r="W15" s="46" t="s">
        <v>39</v>
      </c>
      <c r="X15" s="46">
        <v>356.0</v>
      </c>
      <c r="Y15" s="46">
        <v>518.0</v>
      </c>
      <c r="Z15" s="46">
        <v>2251975.0</v>
      </c>
      <c r="AA15" s="46">
        <v>1074480.0</v>
      </c>
      <c r="AB15" s="54">
        <f t="shared" si="19"/>
        <v>0.06770356816</v>
      </c>
      <c r="AC15" s="55">
        <f t="shared" si="20"/>
        <v>6325.772472</v>
      </c>
      <c r="AD15" s="56">
        <f t="shared" ref="AD15:AE15" si="39">Y15/X15</f>
        <v>1.45505618</v>
      </c>
      <c r="AE15" s="55">
        <f t="shared" si="39"/>
        <v>4347.442085</v>
      </c>
    </row>
    <row r="16">
      <c r="A16" s="46" t="s">
        <v>40</v>
      </c>
      <c r="B16" s="46">
        <v>311.0</v>
      </c>
      <c r="C16" s="46">
        <v>523.0</v>
      </c>
      <c r="D16" s="46">
        <v>2693735.0</v>
      </c>
      <c r="E16" s="46">
        <v>1293325.0</v>
      </c>
      <c r="F16" s="47">
        <f t="shared" si="2"/>
        <v>0.1094299789</v>
      </c>
      <c r="G16" s="48">
        <f t="shared" si="3"/>
        <v>8661.527331</v>
      </c>
      <c r="H16" s="49">
        <f t="shared" ref="H16:I16" si="40">C16/B16</f>
        <v>1.681672026</v>
      </c>
      <c r="I16" s="48">
        <f t="shared" si="40"/>
        <v>5150.544933</v>
      </c>
      <c r="J16" s="37"/>
      <c r="K16" s="37"/>
      <c r="L16" s="46" t="s">
        <v>40</v>
      </c>
      <c r="M16" s="46">
        <v>743.0</v>
      </c>
      <c r="N16" s="46">
        <v>1364.0</v>
      </c>
      <c r="O16" s="46">
        <v>7542645.0</v>
      </c>
      <c r="P16" s="46">
        <v>3669875.0</v>
      </c>
      <c r="Q16" s="47">
        <f t="shared" si="7"/>
        <v>0.1205973056</v>
      </c>
      <c r="R16" s="48">
        <f t="shared" si="8"/>
        <v>10151.60834</v>
      </c>
      <c r="S16" s="49">
        <f t="shared" ref="S16:T16" si="41">N16/M16</f>
        <v>1.835800808</v>
      </c>
      <c r="T16" s="48">
        <f t="shared" si="41"/>
        <v>5529.798387</v>
      </c>
      <c r="U16" s="37"/>
      <c r="V16" s="37"/>
      <c r="W16" s="46" t="s">
        <v>40</v>
      </c>
      <c r="X16" s="46">
        <v>778.0</v>
      </c>
      <c r="Y16" s="46">
        <v>1300.0</v>
      </c>
      <c r="Z16" s="46">
        <v>7285410.0</v>
      </c>
      <c r="AA16" s="46">
        <v>3469510.0</v>
      </c>
      <c r="AB16" s="54">
        <f t="shared" si="19"/>
        <v>0.1699124297</v>
      </c>
      <c r="AC16" s="55">
        <f t="shared" si="20"/>
        <v>9364.280206</v>
      </c>
      <c r="AD16" s="56">
        <f t="shared" ref="AD16:AE16" si="42">Y16/X16</f>
        <v>1.670951157</v>
      </c>
      <c r="AE16" s="55">
        <f t="shared" si="42"/>
        <v>5604.161538</v>
      </c>
    </row>
    <row r="17">
      <c r="A17" s="50"/>
      <c r="B17" s="50"/>
      <c r="C17" s="48">
        <f t="shared" ref="C17:E17" si="43">STDEV(C2:C16)/AVERAGE(C2:C16)</f>
        <v>1.242120348</v>
      </c>
      <c r="D17" s="48">
        <f t="shared" si="43"/>
        <v>1.303056809</v>
      </c>
      <c r="E17" s="48">
        <f t="shared" si="43"/>
        <v>1.336591609</v>
      </c>
      <c r="F17" s="51"/>
      <c r="G17" s="50"/>
      <c r="H17" s="52"/>
      <c r="I17" s="50"/>
      <c r="J17" s="37"/>
      <c r="K17" s="37"/>
      <c r="L17" s="50"/>
      <c r="M17" s="50"/>
      <c r="N17" s="48">
        <f t="shared" ref="N17:P17" si="44">STDEV(N4:N12)/AVERAGE(N4:N12)</f>
        <v>1.350201095</v>
      </c>
      <c r="O17" s="48">
        <f t="shared" si="44"/>
        <v>1.518614684</v>
      </c>
      <c r="P17" s="48">
        <f t="shared" si="44"/>
        <v>1.570744487</v>
      </c>
      <c r="Q17" s="51"/>
      <c r="R17" s="50"/>
      <c r="S17" s="52"/>
      <c r="T17" s="50"/>
      <c r="U17" s="37"/>
      <c r="V17" s="37"/>
      <c r="W17" s="50"/>
      <c r="X17" s="50"/>
      <c r="Y17" s="48">
        <f t="shared" ref="Y17:AA17" si="45">STDEV(Y2:Y16)/AVERAGE(Y2:Y16)</f>
        <v>1.427550599</v>
      </c>
      <c r="Z17" s="48">
        <f t="shared" si="45"/>
        <v>2.030915916</v>
      </c>
      <c r="AA17" s="48">
        <f t="shared" si="45"/>
        <v>2.056224047</v>
      </c>
      <c r="AB17" s="51"/>
      <c r="AC17" s="53"/>
      <c r="AD17" s="52"/>
      <c r="AE17" s="53"/>
    </row>
    <row r="19">
      <c r="O19" s="57"/>
    </row>
    <row r="21">
      <c r="A21" s="58" t="s">
        <v>20</v>
      </c>
      <c r="B21" s="59" t="s">
        <v>41</v>
      </c>
      <c r="C21" s="60" t="s">
        <v>42</v>
      </c>
      <c r="D21" s="61" t="s">
        <v>43</v>
      </c>
      <c r="E21" s="60" t="s">
        <v>41</v>
      </c>
      <c r="F21" s="62" t="s">
        <v>42</v>
      </c>
      <c r="G21" s="60" t="s">
        <v>43</v>
      </c>
      <c r="H21" s="60" t="s">
        <v>41</v>
      </c>
      <c r="I21" s="60" t="s">
        <v>42</v>
      </c>
      <c r="J21" s="60" t="s">
        <v>43</v>
      </c>
      <c r="K21" s="60" t="s">
        <v>41</v>
      </c>
      <c r="L21" s="60" t="s">
        <v>42</v>
      </c>
      <c r="M21" s="60" t="s">
        <v>43</v>
      </c>
    </row>
    <row r="22">
      <c r="A22" s="63" t="s">
        <v>27</v>
      </c>
      <c r="B22" s="64">
        <f t="shared" ref="B22:B35" si="46">VLOOKUP(A22,A2:I18, 6,0)</f>
        <v>1</v>
      </c>
      <c r="C22" s="65" t="str">
        <f t="shared" ref="C22:C35" si="47">IFNA(VLOOKUP(A22,L3:T17, 6,0), "")</f>
        <v/>
      </c>
      <c r="D22" s="65" t="str">
        <f t="shared" ref="D22:D35" si="48">IFNA(VLOOKUP(A22,W2:AE18,6,0),"")</f>
        <v/>
      </c>
      <c r="E22" s="66">
        <f t="shared" ref="E22:E35" si="49">IFNA(VLOOKUP(A22,A3:I18,7,0),"")</f>
        <v>6638.298733</v>
      </c>
      <c r="F22" s="67" t="str">
        <f t="shared" ref="F22:F35" si="50">IFNA(VLOOKUP(A22,L3:T18,7,0),"")</f>
        <v/>
      </c>
      <c r="G22" s="67" t="str">
        <f t="shared" ref="G22:G35" si="51">IFNA(VLOOKUP(A22,W3:AE20,7,0),"")</f>
        <v/>
      </c>
      <c r="H22" s="68">
        <f t="shared" ref="H22:H35" si="52">IFNA(VLOOKUP(A22, A3:I17,8,0),"")</f>
        <v>1.264250528</v>
      </c>
      <c r="I22" s="69" t="str">
        <f t="shared" ref="I22:I35" si="53">IFNA(VLOOKUP(A22,L3:T18,8,0), "")</f>
        <v/>
      </c>
      <c r="J22" s="69" t="str">
        <f t="shared" ref="J22:J35" si="54">IFNA(VLOOKUP(A22,W3:AE17,8,0), "")</f>
        <v/>
      </c>
      <c r="K22" s="66">
        <f t="shared" ref="K22:K35" si="55">IFNA(VLOOKUP(A22, A3:I17,9,0),"")</f>
        <v>5250.777901</v>
      </c>
      <c r="L22" s="67" t="str">
        <f t="shared" ref="L22:L35" si="56">IFNA(VLOOKUP(A22,L3:T18,9,0),"")</f>
        <v/>
      </c>
      <c r="M22" s="67" t="str">
        <f t="shared" ref="M22:M35" si="57">IFNA(VLOOKUP(A22,W3:AE17,9,0),"")</f>
        <v/>
      </c>
    </row>
    <row r="23">
      <c r="A23" s="63" t="s">
        <v>28</v>
      </c>
      <c r="B23" s="64">
        <f t="shared" si="46"/>
        <v>0.1861365236</v>
      </c>
      <c r="C23" s="64">
        <f t="shared" si="47"/>
        <v>1</v>
      </c>
      <c r="D23" s="65" t="str">
        <f t="shared" si="48"/>
        <v/>
      </c>
      <c r="E23" s="66">
        <f t="shared" si="49"/>
        <v>8274.120983</v>
      </c>
      <c r="F23" s="66">
        <f t="shared" si="50"/>
        <v>8248.009252</v>
      </c>
      <c r="G23" s="67" t="str">
        <f t="shared" si="51"/>
        <v/>
      </c>
      <c r="H23" s="68">
        <f t="shared" si="52"/>
        <v>1.5463138</v>
      </c>
      <c r="I23" s="68">
        <f t="shared" si="53"/>
        <v>1.295244279</v>
      </c>
      <c r="J23" s="69" t="str">
        <f t="shared" si="54"/>
        <v/>
      </c>
      <c r="K23" s="66">
        <f t="shared" si="55"/>
        <v>5350.867971</v>
      </c>
      <c r="L23" s="66">
        <f t="shared" si="56"/>
        <v>6367.91792</v>
      </c>
      <c r="M23" s="67" t="str">
        <f t="shared" si="57"/>
        <v/>
      </c>
    </row>
    <row r="24">
      <c r="A24" s="63" t="s">
        <v>29</v>
      </c>
      <c r="B24" s="64">
        <f t="shared" si="46"/>
        <v>0.08339197748</v>
      </c>
      <c r="C24" s="64">
        <f t="shared" si="47"/>
        <v>0.1004707028</v>
      </c>
      <c r="D24" s="65" t="str">
        <f t="shared" si="48"/>
        <v/>
      </c>
      <c r="E24" s="66">
        <f t="shared" si="49"/>
        <v>8054.599156</v>
      </c>
      <c r="F24" s="66">
        <f t="shared" si="50"/>
        <v>8717.988691</v>
      </c>
      <c r="G24" s="67" t="str">
        <f t="shared" si="51"/>
        <v/>
      </c>
      <c r="H24" s="68">
        <f t="shared" si="52"/>
        <v>1.371308017</v>
      </c>
      <c r="I24" s="68">
        <f t="shared" si="53"/>
        <v>1.516962843</v>
      </c>
      <c r="J24" s="69" t="str">
        <f t="shared" si="54"/>
        <v/>
      </c>
      <c r="K24" s="66">
        <f t="shared" si="55"/>
        <v>5873.661538</v>
      </c>
      <c r="L24" s="66">
        <f t="shared" si="56"/>
        <v>5747.00213</v>
      </c>
      <c r="M24" s="67" t="str">
        <f t="shared" si="57"/>
        <v/>
      </c>
    </row>
    <row r="25">
      <c r="A25" s="63" t="s">
        <v>30</v>
      </c>
      <c r="B25" s="64">
        <f t="shared" si="46"/>
        <v>0.1118930331</v>
      </c>
      <c r="C25" s="64">
        <f t="shared" si="47"/>
        <v>0.08862197695</v>
      </c>
      <c r="D25" s="65" t="str">
        <f t="shared" si="48"/>
        <v/>
      </c>
      <c r="E25" s="66">
        <f t="shared" si="49"/>
        <v>7412.893082</v>
      </c>
      <c r="F25" s="66">
        <f t="shared" si="50"/>
        <v>7352.57326</v>
      </c>
      <c r="G25" s="67" t="str">
        <f t="shared" si="51"/>
        <v/>
      </c>
      <c r="H25" s="68">
        <f t="shared" si="52"/>
        <v>1.468553459</v>
      </c>
      <c r="I25" s="68">
        <f t="shared" si="53"/>
        <v>1.565934066</v>
      </c>
      <c r="J25" s="69" t="str">
        <f t="shared" si="54"/>
        <v/>
      </c>
      <c r="K25" s="66">
        <f t="shared" si="55"/>
        <v>5047.751606</v>
      </c>
      <c r="L25" s="66">
        <f t="shared" si="56"/>
        <v>4695.327485</v>
      </c>
      <c r="M25" s="67" t="str">
        <f t="shared" si="57"/>
        <v/>
      </c>
    </row>
    <row r="26">
      <c r="A26" s="63" t="s">
        <v>31</v>
      </c>
      <c r="B26" s="64">
        <f t="shared" si="46"/>
        <v>0.1115411682</v>
      </c>
      <c r="C26" s="64">
        <f t="shared" si="47"/>
        <v>0.07320240221</v>
      </c>
      <c r="D26" s="65" t="str">
        <f t="shared" si="48"/>
        <v/>
      </c>
      <c r="E26" s="66">
        <f t="shared" si="49"/>
        <v>6982.744479</v>
      </c>
      <c r="F26" s="66">
        <f t="shared" si="50"/>
        <v>7795.853659</v>
      </c>
      <c r="G26" s="67" t="str">
        <f t="shared" si="51"/>
        <v/>
      </c>
      <c r="H26" s="68">
        <f t="shared" si="52"/>
        <v>1.476340694</v>
      </c>
      <c r="I26" s="68">
        <f t="shared" si="53"/>
        <v>1.543237251</v>
      </c>
      <c r="J26" s="69" t="str">
        <f t="shared" si="54"/>
        <v/>
      </c>
      <c r="K26" s="66">
        <f t="shared" si="55"/>
        <v>4729.764957</v>
      </c>
      <c r="L26" s="66">
        <f t="shared" si="56"/>
        <v>5051.623563</v>
      </c>
      <c r="M26" s="67" t="str">
        <f t="shared" si="57"/>
        <v/>
      </c>
    </row>
    <row r="27">
      <c r="A27" s="63" t="s">
        <v>32</v>
      </c>
      <c r="B27" s="64">
        <f t="shared" si="46"/>
        <v>0.1287825475</v>
      </c>
      <c r="C27" s="64">
        <f t="shared" si="47"/>
        <v>0.152410323</v>
      </c>
      <c r="D27" s="64">
        <f t="shared" si="48"/>
        <v>1</v>
      </c>
      <c r="E27" s="66">
        <f t="shared" si="49"/>
        <v>8245.040984</v>
      </c>
      <c r="F27" s="66">
        <f t="shared" si="50"/>
        <v>9322.880724</v>
      </c>
      <c r="G27" s="66">
        <f t="shared" si="51"/>
        <v>7837.083829</v>
      </c>
      <c r="H27" s="68">
        <f t="shared" si="52"/>
        <v>1.680327869</v>
      </c>
      <c r="I27" s="68">
        <f t="shared" si="53"/>
        <v>1.681576145</v>
      </c>
      <c r="J27" s="68">
        <f t="shared" si="54"/>
        <v>1.300969223</v>
      </c>
      <c r="K27" s="66">
        <f t="shared" si="55"/>
        <v>4906.804878</v>
      </c>
      <c r="L27" s="66">
        <f t="shared" si="56"/>
        <v>5544.132362</v>
      </c>
      <c r="M27" s="66">
        <f t="shared" si="57"/>
        <v>6024.034767</v>
      </c>
    </row>
    <row r="28">
      <c r="A28" s="63" t="s">
        <v>33</v>
      </c>
      <c r="B28" s="64">
        <f t="shared" si="46"/>
        <v>0.08233638283</v>
      </c>
      <c r="C28" s="64">
        <f t="shared" si="47"/>
        <v>0.06784612888</v>
      </c>
      <c r="D28" s="64">
        <f t="shared" si="48"/>
        <v>0.1321395896</v>
      </c>
      <c r="E28" s="66">
        <f t="shared" si="49"/>
        <v>6732.32906</v>
      </c>
      <c r="F28" s="66">
        <f t="shared" si="50"/>
        <v>8205.789474</v>
      </c>
      <c r="G28" s="66">
        <f t="shared" si="51"/>
        <v>8017.166667</v>
      </c>
      <c r="H28" s="68">
        <f t="shared" si="52"/>
        <v>1.448717949</v>
      </c>
      <c r="I28" s="68">
        <f t="shared" si="53"/>
        <v>1.64354067</v>
      </c>
      <c r="J28" s="68">
        <f t="shared" si="54"/>
        <v>1.465217391</v>
      </c>
      <c r="K28" s="66">
        <f t="shared" si="55"/>
        <v>4647.094395</v>
      </c>
      <c r="L28" s="66">
        <f t="shared" si="56"/>
        <v>4992.751092</v>
      </c>
      <c r="M28" s="66">
        <f t="shared" si="57"/>
        <v>5471.656775</v>
      </c>
    </row>
    <row r="29">
      <c r="A29" s="63" t="s">
        <v>34</v>
      </c>
      <c r="B29" s="64">
        <f t="shared" si="46"/>
        <v>0.08937368051</v>
      </c>
      <c r="C29" s="64">
        <f t="shared" si="47"/>
        <v>0.07174160039</v>
      </c>
      <c r="D29" s="64">
        <f t="shared" si="48"/>
        <v>0.0882237616</v>
      </c>
      <c r="E29" s="66">
        <f t="shared" si="49"/>
        <v>7105.393701</v>
      </c>
      <c r="F29" s="66">
        <f t="shared" si="50"/>
        <v>7636.78733</v>
      </c>
      <c r="G29" s="66">
        <f t="shared" si="51"/>
        <v>7550.465116</v>
      </c>
      <c r="H29" s="68">
        <f t="shared" si="52"/>
        <v>1.606299213</v>
      </c>
      <c r="I29" s="68">
        <f t="shared" si="53"/>
        <v>1.669683258</v>
      </c>
      <c r="J29" s="68">
        <f t="shared" si="54"/>
        <v>1.427061311</v>
      </c>
      <c r="K29" s="66">
        <f t="shared" si="55"/>
        <v>4423.455882</v>
      </c>
      <c r="L29" s="66">
        <f t="shared" si="56"/>
        <v>4573.794038</v>
      </c>
      <c r="M29" s="66">
        <f t="shared" si="57"/>
        <v>5290.918519</v>
      </c>
    </row>
    <row r="30">
      <c r="A30" s="63" t="s">
        <v>35</v>
      </c>
      <c r="B30" s="64">
        <f t="shared" si="46"/>
        <v>0.09465165376</v>
      </c>
      <c r="C30" s="64">
        <f t="shared" si="47"/>
        <v>0.06979386463</v>
      </c>
      <c r="D30" s="64">
        <f t="shared" si="48"/>
        <v>0.07855182329</v>
      </c>
      <c r="E30" s="66">
        <f t="shared" si="49"/>
        <v>5883.773234</v>
      </c>
      <c r="F30" s="66">
        <f t="shared" si="50"/>
        <v>8084.616279</v>
      </c>
      <c r="G30" s="66">
        <f t="shared" si="51"/>
        <v>6757.142857</v>
      </c>
      <c r="H30" s="68">
        <f t="shared" si="52"/>
        <v>1.431226766</v>
      </c>
      <c r="I30" s="68">
        <f t="shared" si="53"/>
        <v>1.7</v>
      </c>
      <c r="J30" s="68">
        <f t="shared" si="54"/>
        <v>1.430952381</v>
      </c>
      <c r="K30" s="66">
        <f t="shared" si="55"/>
        <v>4111</v>
      </c>
      <c r="L30" s="66">
        <f t="shared" si="56"/>
        <v>4755.656635</v>
      </c>
      <c r="M30" s="66">
        <f t="shared" si="57"/>
        <v>4722.129784</v>
      </c>
    </row>
    <row r="31">
      <c r="A31" s="63" t="s">
        <v>36</v>
      </c>
      <c r="B31" s="64">
        <f t="shared" si="46"/>
        <v>0.1259676284</v>
      </c>
      <c r="C31" s="64">
        <f t="shared" si="47"/>
        <v>0.1436455121</v>
      </c>
      <c r="D31" s="64">
        <f t="shared" si="48"/>
        <v>0.2169651026</v>
      </c>
      <c r="E31" s="66">
        <f t="shared" si="49"/>
        <v>9000.181564</v>
      </c>
      <c r="F31" s="66">
        <f t="shared" si="50"/>
        <v>9616.485876</v>
      </c>
      <c r="G31" s="66">
        <f t="shared" si="51"/>
        <v>8936.096096</v>
      </c>
      <c r="H31" s="68">
        <f t="shared" si="52"/>
        <v>1.745810056</v>
      </c>
      <c r="I31" s="68">
        <f t="shared" si="53"/>
        <v>1.742372881</v>
      </c>
      <c r="J31" s="68">
        <f t="shared" si="54"/>
        <v>1.661661662</v>
      </c>
      <c r="K31" s="66">
        <f t="shared" si="55"/>
        <v>5155.304</v>
      </c>
      <c r="L31" s="66">
        <f t="shared" si="56"/>
        <v>5519.189364</v>
      </c>
      <c r="M31" s="66">
        <f t="shared" si="57"/>
        <v>5377.807229</v>
      </c>
    </row>
    <row r="32">
      <c r="A32" s="63" t="s">
        <v>37</v>
      </c>
      <c r="B32" s="64">
        <f t="shared" si="46"/>
        <v>0.07741027445</v>
      </c>
      <c r="C32" s="64">
        <f t="shared" si="47"/>
        <v>0.06184061029</v>
      </c>
      <c r="D32" s="64">
        <f t="shared" si="48"/>
        <v>0.0734544504</v>
      </c>
      <c r="E32" s="66">
        <f t="shared" si="49"/>
        <v>7449.75</v>
      </c>
      <c r="F32" s="66">
        <f t="shared" si="50"/>
        <v>9027.650919</v>
      </c>
      <c r="G32" s="66">
        <f t="shared" si="51"/>
        <v>8101.485788</v>
      </c>
      <c r="H32" s="68">
        <f t="shared" si="52"/>
        <v>1.468181818</v>
      </c>
      <c r="I32" s="68">
        <f t="shared" si="53"/>
        <v>1.640419948</v>
      </c>
      <c r="J32" s="68">
        <f t="shared" si="54"/>
        <v>1.452196382</v>
      </c>
      <c r="K32" s="66">
        <f t="shared" si="55"/>
        <v>5074.133127</v>
      </c>
      <c r="L32" s="66">
        <f t="shared" si="56"/>
        <v>5503.256</v>
      </c>
      <c r="M32" s="66">
        <f t="shared" si="57"/>
        <v>5578.781139</v>
      </c>
    </row>
    <row r="33">
      <c r="A33" s="63" t="s">
        <v>38</v>
      </c>
      <c r="B33" s="64">
        <f t="shared" si="46"/>
        <v>0.07881773399</v>
      </c>
      <c r="C33" s="64">
        <f t="shared" si="47"/>
        <v>0.06232754423</v>
      </c>
      <c r="D33" s="64">
        <f t="shared" si="48"/>
        <v>0.06822637564</v>
      </c>
      <c r="E33" s="66">
        <f t="shared" si="49"/>
        <v>7779.799107</v>
      </c>
      <c r="F33" s="66">
        <f t="shared" si="50"/>
        <v>9029.882813</v>
      </c>
      <c r="G33" s="66">
        <f t="shared" si="51"/>
        <v>7425</v>
      </c>
      <c r="H33" s="68">
        <f t="shared" si="52"/>
        <v>1.508928571</v>
      </c>
      <c r="I33" s="68">
        <f t="shared" si="53"/>
        <v>1.703125</v>
      </c>
      <c r="J33" s="68">
        <f t="shared" si="54"/>
        <v>1.521865889</v>
      </c>
      <c r="K33" s="66">
        <f t="shared" si="55"/>
        <v>5155.843195</v>
      </c>
      <c r="L33" s="66">
        <f t="shared" si="56"/>
        <v>5301.949541</v>
      </c>
      <c r="M33" s="66">
        <f t="shared" si="57"/>
        <v>4878.87931</v>
      </c>
    </row>
    <row r="34">
      <c r="A34" s="63" t="s">
        <v>39</v>
      </c>
      <c r="B34" s="64">
        <f t="shared" si="46"/>
        <v>0.08092892329</v>
      </c>
      <c r="C34" s="64">
        <f t="shared" si="47"/>
        <v>0.0569712709</v>
      </c>
      <c r="D34" s="64">
        <f t="shared" si="48"/>
        <v>0.06770356816</v>
      </c>
      <c r="E34" s="66">
        <f t="shared" si="49"/>
        <v>6290.086957</v>
      </c>
      <c r="F34" s="66">
        <f t="shared" si="50"/>
        <v>6877.037037</v>
      </c>
      <c r="G34" s="66">
        <f t="shared" si="51"/>
        <v>6325.772472</v>
      </c>
      <c r="H34" s="68">
        <f t="shared" si="52"/>
        <v>1.517391304</v>
      </c>
      <c r="I34" s="68">
        <f t="shared" si="53"/>
        <v>1.598290598</v>
      </c>
      <c r="J34" s="68">
        <f t="shared" si="54"/>
        <v>1.45505618</v>
      </c>
      <c r="K34" s="66">
        <f t="shared" si="55"/>
        <v>4145.329513</v>
      </c>
      <c r="L34" s="66">
        <f t="shared" si="56"/>
        <v>4302.745098</v>
      </c>
      <c r="M34" s="66">
        <f t="shared" si="57"/>
        <v>4347.442085</v>
      </c>
    </row>
    <row r="35">
      <c r="A35" s="63" t="s">
        <v>40</v>
      </c>
      <c r="B35" s="64">
        <f t="shared" si="46"/>
        <v>0.1094299789</v>
      </c>
      <c r="C35" s="64">
        <f t="shared" si="47"/>
        <v>0.1205973056</v>
      </c>
      <c r="D35" s="64">
        <f t="shared" si="48"/>
        <v>0.1699124297</v>
      </c>
      <c r="E35" s="66">
        <f t="shared" si="49"/>
        <v>8661.527331</v>
      </c>
      <c r="F35" s="66">
        <f t="shared" si="50"/>
        <v>10151.60834</v>
      </c>
      <c r="G35" s="66">
        <f t="shared" si="51"/>
        <v>9364.280206</v>
      </c>
      <c r="H35" s="68">
        <f t="shared" si="52"/>
        <v>1.681672026</v>
      </c>
      <c r="I35" s="68">
        <f t="shared" si="53"/>
        <v>1.835800808</v>
      </c>
      <c r="J35" s="68">
        <f t="shared" si="54"/>
        <v>1.670951157</v>
      </c>
      <c r="K35" s="66">
        <f t="shared" si="55"/>
        <v>5150.544933</v>
      </c>
      <c r="L35" s="66">
        <f t="shared" si="56"/>
        <v>5529.798387</v>
      </c>
      <c r="M35" s="66">
        <f t="shared" si="57"/>
        <v>5604.161538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0" t="s">
        <v>3</v>
      </c>
      <c r="B1" s="71"/>
      <c r="C1" s="71"/>
      <c r="D1" s="71"/>
      <c r="E1" s="71"/>
      <c r="F1" s="72" t="s">
        <v>4</v>
      </c>
      <c r="G1" s="73"/>
      <c r="H1" s="73"/>
      <c r="I1" s="73"/>
      <c r="J1" s="73"/>
      <c r="K1" s="72" t="s">
        <v>1</v>
      </c>
      <c r="L1" s="73"/>
      <c r="M1" s="73"/>
      <c r="N1" s="73"/>
      <c r="O1" s="73"/>
      <c r="R1" s="74" t="s">
        <v>0</v>
      </c>
      <c r="S1" s="74" t="s">
        <v>1</v>
      </c>
      <c r="T1" s="74" t="s">
        <v>50</v>
      </c>
      <c r="U1" s="74" t="s">
        <v>51</v>
      </c>
      <c r="V1" s="74" t="s">
        <v>52</v>
      </c>
      <c r="W1" s="75" t="s">
        <v>53</v>
      </c>
      <c r="X1" s="76" t="s">
        <v>54</v>
      </c>
    </row>
    <row r="2">
      <c r="A2" s="77"/>
      <c r="B2" s="78">
        <v>2021.0</v>
      </c>
      <c r="C2" s="78">
        <v>2022.0</v>
      </c>
      <c r="D2" s="78">
        <v>2023.0</v>
      </c>
      <c r="E2" s="78">
        <v>2024.0</v>
      </c>
      <c r="F2" s="77"/>
      <c r="G2" s="78">
        <v>2021.0</v>
      </c>
      <c r="H2" s="78">
        <v>2022.0</v>
      </c>
      <c r="I2" s="78">
        <v>2023.0</v>
      </c>
      <c r="J2" s="78">
        <v>2024.0</v>
      </c>
      <c r="K2" s="77"/>
      <c r="L2" s="78">
        <v>2021.0</v>
      </c>
      <c r="M2" s="78">
        <v>2022.0</v>
      </c>
      <c r="N2" s="78">
        <v>2023.0</v>
      </c>
      <c r="O2" s="78">
        <v>2024.0</v>
      </c>
      <c r="R2" s="79">
        <v>1.0</v>
      </c>
      <c r="S2" s="79">
        <v>3180.0</v>
      </c>
      <c r="T2" s="80">
        <v>17503.0</v>
      </c>
      <c r="U2" s="80">
        <v>1.28952505E8</v>
      </c>
      <c r="V2" s="80">
        <v>6.2160175E7</v>
      </c>
      <c r="W2" s="81">
        <v>0.10000943485234456</v>
      </c>
      <c r="X2" s="82">
        <v>40551.10220125786</v>
      </c>
    </row>
    <row r="3">
      <c r="A3" s="78" t="s">
        <v>55</v>
      </c>
      <c r="B3" s="63">
        <v>7.5539904E7</v>
      </c>
      <c r="C3" s="63">
        <v>6.171330550000001E7</v>
      </c>
      <c r="D3" s="63">
        <v>5.75353625E7</v>
      </c>
      <c r="E3" s="63">
        <v>5.54779225E7</v>
      </c>
      <c r="F3" s="78" t="s">
        <v>55</v>
      </c>
      <c r="G3" s="63">
        <v>3.74877415E7</v>
      </c>
      <c r="H3" s="63">
        <v>3.0335338E7</v>
      </c>
      <c r="I3" s="63">
        <v>2.74854745E7</v>
      </c>
      <c r="J3" s="63">
        <v>2.6831497E7</v>
      </c>
      <c r="K3" s="78" t="s">
        <v>55</v>
      </c>
      <c r="L3" s="63">
        <v>5751.0</v>
      </c>
      <c r="M3" s="63">
        <v>4636.0</v>
      </c>
      <c r="N3" s="63">
        <v>4233.0</v>
      </c>
      <c r="O3" s="63">
        <v>3921.0</v>
      </c>
      <c r="R3" s="79">
        <v>2.0</v>
      </c>
      <c r="S3" s="79">
        <v>3180.0</v>
      </c>
      <c r="T3" s="80">
        <v>8703.0</v>
      </c>
      <c r="U3" s="80">
        <v>5.5542905E7</v>
      </c>
      <c r="V3" s="80">
        <v>2.707903E7</v>
      </c>
      <c r="W3" s="81">
        <v>0.10000943485234456</v>
      </c>
      <c r="X3" s="82">
        <v>17466.322327044025</v>
      </c>
    </row>
    <row r="4">
      <c r="A4" s="78">
        <v>2021.0</v>
      </c>
      <c r="B4" s="63">
        <v>1.3186955649999999E8</v>
      </c>
      <c r="C4" s="63">
        <v>5.2597105E7</v>
      </c>
      <c r="D4" s="63">
        <v>4.5025838E7</v>
      </c>
      <c r="E4" s="63">
        <v>4.1006845E7</v>
      </c>
      <c r="F4" s="78">
        <v>2021.0</v>
      </c>
      <c r="G4" s="63">
        <v>6.6061534E7</v>
      </c>
      <c r="H4" s="63">
        <v>2.5603149E7</v>
      </c>
      <c r="I4" s="63">
        <v>2.12661185E7</v>
      </c>
      <c r="J4" s="63">
        <v>1.9554051E7</v>
      </c>
      <c r="K4" s="78">
        <v>2021.0</v>
      </c>
      <c r="L4" s="63">
        <v>14915.0</v>
      </c>
      <c r="M4" s="63">
        <v>4107.0</v>
      </c>
      <c r="N4" s="63">
        <v>3491.0</v>
      </c>
      <c r="O4" s="63">
        <v>3075.0</v>
      </c>
      <c r="R4" s="79">
        <v>3.0</v>
      </c>
      <c r="S4" s="79">
        <v>3177.0</v>
      </c>
      <c r="T4" s="80">
        <v>6345.0</v>
      </c>
      <c r="U4" s="80">
        <v>3.8274225E7</v>
      </c>
      <c r="V4" s="80">
        <v>1.8722055E7</v>
      </c>
      <c r="W4" s="81">
        <v>0.09991508632889895</v>
      </c>
      <c r="X4" s="82">
        <v>12047.285174693106</v>
      </c>
    </row>
    <row r="5">
      <c r="A5" s="78">
        <v>2022.0</v>
      </c>
      <c r="B5" s="63">
        <v>0.0</v>
      </c>
      <c r="C5" s="63">
        <v>1.061519525E8</v>
      </c>
      <c r="D5" s="63">
        <v>4.0414088E7</v>
      </c>
      <c r="E5" s="63">
        <v>3.1974173E7</v>
      </c>
      <c r="F5" s="78">
        <v>2022.0</v>
      </c>
      <c r="G5" s="63">
        <v>0.0</v>
      </c>
      <c r="H5" s="63">
        <v>5.19678335E7</v>
      </c>
      <c r="I5" s="63">
        <v>1.9015788E7</v>
      </c>
      <c r="J5" s="63">
        <v>1.52587985E7</v>
      </c>
      <c r="K5" s="78">
        <v>2022.0</v>
      </c>
      <c r="L5" s="67"/>
      <c r="M5" s="63">
        <v>12720.0</v>
      </c>
      <c r="N5" s="63">
        <v>3389.0</v>
      </c>
      <c r="O5" s="63">
        <v>2686.0</v>
      </c>
      <c r="R5" s="79">
        <v>4.0</v>
      </c>
      <c r="S5" s="79">
        <v>3178.0</v>
      </c>
      <c r="T5" s="80">
        <v>5349.0</v>
      </c>
      <c r="U5" s="80">
        <v>2.901701E7</v>
      </c>
      <c r="V5" s="80">
        <v>1.3916595E7</v>
      </c>
      <c r="W5" s="81">
        <v>0.09994653583671416</v>
      </c>
      <c r="X5" s="82">
        <v>9130.588420390182</v>
      </c>
    </row>
    <row r="6">
      <c r="A6" s="78">
        <v>2023.0</v>
      </c>
      <c r="B6" s="63">
        <v>0.0</v>
      </c>
      <c r="C6" s="63">
        <v>0.0</v>
      </c>
      <c r="D6" s="63">
        <v>1.2317463399999999E8</v>
      </c>
      <c r="E6" s="63">
        <v>4.4414436E7</v>
      </c>
      <c r="F6" s="78">
        <v>2023.0</v>
      </c>
      <c r="G6" s="63">
        <v>0.0</v>
      </c>
      <c r="H6" s="63">
        <v>0.0</v>
      </c>
      <c r="I6" s="63">
        <v>5.9071749E7</v>
      </c>
      <c r="J6" s="63">
        <v>2.09702955E7</v>
      </c>
      <c r="K6" s="78">
        <v>2023.0</v>
      </c>
      <c r="L6" s="67"/>
      <c r="M6" s="67"/>
      <c r="N6" s="63">
        <v>15166.0</v>
      </c>
      <c r="O6" s="63">
        <v>3799.0</v>
      </c>
      <c r="R6" s="79">
        <v>5.0</v>
      </c>
      <c r="S6" s="79">
        <v>3183.0</v>
      </c>
      <c r="T6" s="80">
        <v>4683.0</v>
      </c>
      <c r="U6" s="80">
        <v>2.2555225E7</v>
      </c>
      <c r="V6" s="80">
        <v>1.0734405E7</v>
      </c>
      <c r="W6" s="81">
        <v>0.10010378337579016</v>
      </c>
      <c r="X6" s="82">
        <v>7086.153000314169</v>
      </c>
    </row>
    <row r="7">
      <c r="A7" s="78">
        <v>2024.0</v>
      </c>
      <c r="B7" s="63">
        <v>0.0</v>
      </c>
      <c r="C7" s="63">
        <v>0.0</v>
      </c>
      <c r="D7" s="63">
        <v>0.0</v>
      </c>
      <c r="E7" s="63">
        <v>1.527273275E8</v>
      </c>
      <c r="F7" s="78">
        <v>2024.0</v>
      </c>
      <c r="G7" s="63">
        <v>0.0</v>
      </c>
      <c r="H7" s="63">
        <v>0.0</v>
      </c>
      <c r="I7" s="63">
        <v>0.0</v>
      </c>
      <c r="J7" s="63">
        <v>7.3401526E7</v>
      </c>
      <c r="K7" s="78">
        <v>2024.0</v>
      </c>
      <c r="L7" s="67"/>
      <c r="M7" s="67"/>
      <c r="N7" s="67"/>
      <c r="O7" s="63">
        <v>18316.0</v>
      </c>
      <c r="R7" s="79">
        <v>6.0</v>
      </c>
      <c r="S7" s="79">
        <v>3124.0</v>
      </c>
      <c r="T7" s="80">
        <v>4330.0</v>
      </c>
      <c r="U7" s="80">
        <v>1.7169955E7</v>
      </c>
      <c r="V7" s="80">
        <v>7948270.0</v>
      </c>
      <c r="W7" s="81">
        <v>0.09824826241469321</v>
      </c>
      <c r="X7" s="82">
        <v>5496.144366197183</v>
      </c>
    </row>
    <row r="8">
      <c r="A8" s="77"/>
      <c r="B8" s="77"/>
      <c r="C8" s="77"/>
      <c r="D8" s="77"/>
      <c r="E8" s="77"/>
      <c r="F8" s="83"/>
      <c r="G8" s="77"/>
      <c r="H8" s="77"/>
      <c r="I8" s="77"/>
      <c r="J8" s="77"/>
      <c r="K8" s="77"/>
      <c r="L8" s="77"/>
      <c r="M8" s="77"/>
      <c r="N8" s="77"/>
      <c r="O8" s="77"/>
      <c r="R8" s="79">
        <v>7.0</v>
      </c>
      <c r="S8" s="79">
        <v>3233.0</v>
      </c>
      <c r="T8" s="80">
        <v>4004.0</v>
      </c>
      <c r="U8" s="80">
        <v>1.347071E7</v>
      </c>
      <c r="V8" s="80">
        <v>6240025.0</v>
      </c>
      <c r="W8" s="81">
        <v>0.1016762587665503</v>
      </c>
      <c r="X8" s="82">
        <v>4166.628518403959</v>
      </c>
    </row>
    <row r="9">
      <c r="B9" s="72" t="s">
        <v>2</v>
      </c>
      <c r="C9" s="73"/>
      <c r="D9" s="73"/>
      <c r="E9" s="73"/>
      <c r="F9" s="73"/>
      <c r="R9" s="79">
        <v>8.0</v>
      </c>
      <c r="S9" s="79">
        <v>2996.0</v>
      </c>
      <c r="T9" s="80">
        <v>3414.0</v>
      </c>
      <c r="U9" s="80">
        <v>9381075.0</v>
      </c>
      <c r="V9" s="80">
        <v>4326685.0</v>
      </c>
      <c r="W9" s="81">
        <v>0.09422272541434727</v>
      </c>
      <c r="X9" s="82">
        <v>3131.1999332443256</v>
      </c>
    </row>
    <row r="10">
      <c r="B10" s="77"/>
      <c r="C10" s="78">
        <v>2021.0</v>
      </c>
      <c r="D10" s="78">
        <v>2022.0</v>
      </c>
      <c r="E10" s="78">
        <v>2023.0</v>
      </c>
      <c r="F10" s="78">
        <v>2024.0</v>
      </c>
      <c r="R10" s="79">
        <v>9.0</v>
      </c>
      <c r="S10" s="79">
        <v>3360.0</v>
      </c>
      <c r="T10" s="80">
        <v>3659.0</v>
      </c>
      <c r="U10" s="80">
        <v>7496500.0</v>
      </c>
      <c r="V10" s="80">
        <v>3334100.0</v>
      </c>
      <c r="W10" s="81">
        <v>0.10567034625908105</v>
      </c>
      <c r="X10" s="82">
        <v>2231.1011904761904</v>
      </c>
    </row>
    <row r="11">
      <c r="B11" s="78" t="s">
        <v>55</v>
      </c>
      <c r="C11" s="63">
        <v>13739.0</v>
      </c>
      <c r="D11" s="63">
        <v>11475.0</v>
      </c>
      <c r="E11" s="63">
        <v>11331.0</v>
      </c>
      <c r="F11" s="63">
        <v>10581.0</v>
      </c>
      <c r="R11" s="79">
        <v>10.0</v>
      </c>
      <c r="S11" s="79">
        <v>3186.0</v>
      </c>
      <c r="T11" s="80">
        <v>3270.0</v>
      </c>
      <c r="U11" s="80">
        <v>3740550.0</v>
      </c>
      <c r="V11" s="80">
        <v>1554795.0</v>
      </c>
      <c r="W11" s="81">
        <v>0.10019813189923578</v>
      </c>
      <c r="X11" s="82">
        <v>1174.0583804143125</v>
      </c>
    </row>
    <row r="12">
      <c r="B12" s="78">
        <v>2021.0</v>
      </c>
      <c r="C12" s="63">
        <v>22911.0</v>
      </c>
      <c r="D12" s="63">
        <v>10035.0</v>
      </c>
      <c r="E12" s="63">
        <v>9346.0</v>
      </c>
      <c r="F12" s="63">
        <v>8197.0</v>
      </c>
      <c r="R12" s="82" t="s">
        <v>56</v>
      </c>
      <c r="S12" s="79">
        <v>31797.0</v>
      </c>
      <c r="T12" s="80">
        <v>61260.0</v>
      </c>
      <c r="U12" s="80">
        <v>3.2560066E8</v>
      </c>
      <c r="V12" s="80">
        <v>1.56016135E8</v>
      </c>
      <c r="W12" s="84">
        <v>1.0</v>
      </c>
      <c r="X12" s="82">
        <v>10239.980501305154</v>
      </c>
    </row>
    <row r="13">
      <c r="B13" s="78">
        <v>2022.0</v>
      </c>
      <c r="C13" s="67"/>
      <c r="D13" s="63">
        <v>18640.0</v>
      </c>
      <c r="E13" s="63">
        <v>7992.0</v>
      </c>
      <c r="F13" s="63">
        <v>6336.0</v>
      </c>
    </row>
    <row r="14">
      <c r="B14" s="78">
        <v>2023.0</v>
      </c>
      <c r="C14" s="67"/>
      <c r="D14" s="67"/>
      <c r="E14" s="63">
        <v>22735.0</v>
      </c>
      <c r="F14" s="63">
        <v>9002.0</v>
      </c>
    </row>
    <row r="15">
      <c r="B15" s="78">
        <v>2024.0</v>
      </c>
      <c r="C15" s="67"/>
      <c r="D15" s="67"/>
      <c r="E15" s="67"/>
      <c r="F15" s="63">
        <v>27144.0</v>
      </c>
    </row>
    <row r="16">
      <c r="B16" s="85"/>
      <c r="C16" s="85"/>
      <c r="D16" s="85"/>
      <c r="E16" s="85"/>
      <c r="F16" s="8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 customHeight="1">
      <c r="A1" s="86" t="s">
        <v>57</v>
      </c>
    </row>
    <row r="2" ht="1.5" customHeight="1"/>
    <row r="3" ht="13.5" customHeight="1"/>
    <row r="14" ht="1.5" customHeight="1"/>
  </sheetData>
  <mergeCells count="1">
    <mergeCell ref="A1:F14"/>
  </mergeCells>
  <drawing r:id="rId1"/>
</worksheet>
</file>