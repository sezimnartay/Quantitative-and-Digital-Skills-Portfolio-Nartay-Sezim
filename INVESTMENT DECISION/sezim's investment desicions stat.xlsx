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 1 coca" sheetId="1" r:id="rId5"/>
    <sheet state="visible" name="co2 pepsi" sheetId="2" r:id="rId6"/>
    <sheet state="visible" name="2 combine and clean" sheetId="3" r:id="rId7"/>
    <sheet state="visible" name="2. returns" sheetId="4" r:id="rId8"/>
    <sheet state="visible" name="deescr" sheetId="5" r:id="rId9"/>
    <sheet state="visible" name="sheet 6" sheetId="6" r:id="rId10"/>
    <sheet state="visible" name="var dev " sheetId="7" r:id="rId11"/>
    <sheet state="visible" name="cvar" sheetId="8" r:id="rId12"/>
    <sheet state="visible" name="f test" sheetId="9" r:id="rId13"/>
    <sheet state="visible" name="chisq" sheetId="10" r:id="rId14"/>
    <sheet state="visible" name="Z OUTLIERS" sheetId="11" r:id="rId15"/>
    <sheet state="visible" name="cov" sheetId="12" r:id="rId16"/>
    <sheet state="visible" name="GSPC" sheetId="13" r:id="rId17"/>
    <sheet state="visible" name="ratio" sheetId="14" r:id="rId18"/>
    <sheet state="visible" name="synopsis" sheetId="15" r:id="rId19"/>
    <sheet state="visible" name="DESCR" sheetId="16" r:id="rId20"/>
    <sheet state="visible" name="regression data" sheetId="17" r:id="rId21"/>
    <sheet state="visible" name="Sheet17" sheetId="18" r:id="rId22"/>
  </sheets>
  <definedNames/>
  <calcPr/>
</workbook>
</file>

<file path=xl/sharedStrings.xml><?xml version="1.0" encoding="utf-8"?>
<sst xmlns="http://schemas.openxmlformats.org/spreadsheetml/2006/main" count="765" uniqueCount="234">
  <si>
    <t>Coca cola</t>
  </si>
  <si>
    <t>Date</t>
  </si>
  <si>
    <t>Open</t>
  </si>
  <si>
    <t>High</t>
  </si>
  <si>
    <t>Low</t>
  </si>
  <si>
    <t>Close</t>
  </si>
  <si>
    <t>Adj Close</t>
  </si>
  <si>
    <t>Volume</t>
  </si>
  <si>
    <t>0.51 Dividend</t>
  </si>
  <si>
    <t>Pepsi</t>
  </si>
  <si>
    <t>1.423 Dividend</t>
  </si>
  <si>
    <t>1.355 Dividend</t>
  </si>
  <si>
    <t>Adj Close   Adjusted close price adjusted for splits and dividend and/or capital gain distributions.</t>
  </si>
  <si>
    <t>Daily returns based on adj prices to the left</t>
  </si>
  <si>
    <t>KO</t>
  </si>
  <si>
    <t>PEP</t>
  </si>
  <si>
    <t>WEEKLY RETURN FOR KO</t>
  </si>
  <si>
    <t>WEEKLY RETURN FOR PEP</t>
  </si>
  <si>
    <t>Max</t>
  </si>
  <si>
    <t>Min</t>
  </si>
  <si>
    <t>range:</t>
  </si>
  <si>
    <t>Q3</t>
  </si>
  <si>
    <t>Q1</t>
  </si>
  <si>
    <t xml:space="preserve">IQR, Interquartile range= q3-q1 </t>
  </si>
  <si>
    <t>Mean</t>
  </si>
  <si>
    <t>Mean Absolute Deviation</t>
  </si>
  <si>
    <t>Sample Variance</t>
  </si>
  <si>
    <t>Sample Standard Deviation</t>
  </si>
  <si>
    <t>SNP - Delayed Quote • USD</t>
  </si>
  <si>
    <t>S&amp;P 500 (^GSPC)</t>
  </si>
  <si>
    <t>6,932.30 +133.90 (+1.97%)</t>
  </si>
  <si>
    <t>At close: February 6 at 4:34:12 PM EST</t>
  </si>
  <si>
    <t>Currency in USD</t>
  </si>
  <si>
    <t>week</t>
  </si>
  <si>
    <t>GROWTH</t>
  </si>
  <si>
    <t>VALUE</t>
  </si>
  <si>
    <t>1</t>
  </si>
  <si>
    <t>2</t>
  </si>
  <si>
    <t>3</t>
  </si>
  <si>
    <t>4</t>
  </si>
  <si>
    <t>5</t>
  </si>
  <si>
    <t>6</t>
  </si>
  <si>
    <t>Performance: Growth outperformed Value, delivering a higher average return of 0.45% compared to 0.22%.</t>
  </si>
  <si>
    <t>7</t>
  </si>
  <si>
    <t>8</t>
  </si>
  <si>
    <t>Risk: Value is riskier than Growth, with higher volatility as shown by its greater standard deviation (2.81% vs. 2.04%) and variability measures.</t>
  </si>
  <si>
    <t>9</t>
  </si>
  <si>
    <t>10</t>
  </si>
  <si>
    <t>Summary: Overall, Growth provides a better risk-return tradeoff by offering higher returns with lower risk compared to Value.</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</si>
  <si>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</si>
  <si>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</si>
  <si>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</si>
  <si>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</si>
  <si>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</si>
  <si>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</si>
  <si>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</si>
  <si>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</si>
  <si>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</si>
  <si>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</si>
  <si>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</si>
  <si>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</si>
  <si>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</si>
  <si>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</si>
  <si>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</si>
  <si>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</si>
  <si>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</si>
  <si>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</si>
  <si>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</si>
  <si>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</si>
  <si>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</si>
  <si>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</si>
  <si>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</si>
  <si>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</si>
  <si>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</si>
  <si>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</si>
  <si>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</si>
  <si>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</si>
  <si>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</si>
  <si>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</si>
  <si>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</si>
  <si>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</si>
  <si>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</si>
  <si>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</si>
  <si>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</si>
  <si>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</si>
  <si>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</si>
  <si>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</si>
  <si>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</si>
  <si>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</si>
  <si>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</si>
  <si>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</si>
  <si>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</si>
  <si>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</si>
  <si>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</si>
  <si>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CV</t>
  </si>
  <si>
    <t xml:space="preserve">STDEV.S </t>
  </si>
  <si>
    <t xml:space="preserve">N </t>
  </si>
  <si>
    <t xml:space="preserve">DOF </t>
  </si>
  <si>
    <t>α</t>
  </si>
  <si>
    <t>0.05</t>
  </si>
  <si>
    <t>X</t>
  </si>
  <si>
    <t>P VALUE</t>
  </si>
  <si>
    <t>We do not reject the null hypothesis because the p-value = 0.985 is greater than alpha = 0.05$.</t>
  </si>
  <si>
    <t xml:space="preserve"> Therefore, at the 5% significance level, we cannot conclude that the Growth fund is riskier than the Value fund.</t>
  </si>
  <si>
    <t xml:space="preserve">STDEV.P </t>
  </si>
  <si>
    <t xml:space="preserve">σ₀² </t>
  </si>
  <si>
    <t>χ²</t>
  </si>
  <si>
    <t xml:space="preserve">s² </t>
  </si>
  <si>
    <t xml:space="preserve">P VALUE </t>
  </si>
  <si>
    <t xml:space="preserve">Fail to reject H0. There is not sufficient evidence at the 5 percent level alpha = 0.05) to conclude that the population standard deviation differs from the hypothesized value. </t>
  </si>
  <si>
    <t>Since the p-value (0.8641) is greater than alpha, we conclude that the sample data is consistent with the null hypothesis.</t>
  </si>
  <si>
    <t>Z-SCORE</t>
  </si>
  <si>
    <t>z=x-x bar/s</t>
  </si>
  <si>
    <t xml:space="preserve">z=min-mean/sample standart </t>
  </si>
  <si>
    <t>MIN</t>
  </si>
  <si>
    <t>MAX</t>
  </si>
  <si>
    <t>Z MIN</t>
  </si>
  <si>
    <t>Z MAX</t>
  </si>
  <si>
    <t>dev KO</t>
  </si>
  <si>
    <t>dev PEP</t>
  </si>
  <si>
    <t>Product</t>
  </si>
  <si>
    <t>Cov</t>
  </si>
  <si>
    <t>Correlation</t>
  </si>
  <si>
    <t>manual</t>
  </si>
  <si>
    <t>stdve</t>
  </si>
  <si>
    <t>r=mean-t bill/sample std</t>
  </si>
  <si>
    <t>T bill</t>
  </si>
  <si>
    <t>sharpe ratio</t>
  </si>
  <si>
    <t>SYNOPSIS</t>
  </si>
  <si>
    <t>Synopsis of Portfolio Case: Coca-Cola vs. Pepsi Coca-Cola (KO) and Pepsi (PEP) are two of the largest companies in the global beverage industry and are frequently compared in financial analysis. Because both companies operate in similar markets and compete directly, investors often analyze their stock performance to determine which one may offer a more attractive investment opportunity. Evaluating their returns and risk indicators can provide useful insights for portfolio decisions.</t>
  </si>
  <si>
    <t>An analysis of weekly return data for Coca-Cola and Pepsi highlights differences in their performance. The mean weekly return for Coca-Cola is 0.004540, while the mean weekly return for Pepsi is 0.002154. The mean represents the average return an investor could expect over time. Based on these values, Coca-Cola produced a higher average weekly return compared to Pepsi during the analyzed period. This suggests that Coca-Cola may offer stronger growth potential in terms of returns.</t>
  </si>
  <si>
    <t>However, mean return alone does not fully capture the level of risk associated with an investment. To understand the variability of returns, it is important to examine the standard deviation, which measures how much the returns fluctuate around the average value. In this analysis, Coca-Cola has a standard deviation of 0.015996, while Pepsi has a higher standard deviation of 0.022380. The higher standard deviation for Pepsi indicates that its returns vary more significantly from the mean, meaning Pepsi’s stock exhibits greater volatility. In contrast, Coca-Cola’s lower standard deviation suggests more stable performance over time.</t>
  </si>
  <si>
    <t>The relationship between return and risk is a key factor in investment decisions. Investors generally prefer assets that offer higher returns while maintaining lower levels of volatility. In this comparison, Coca-Cola appears to provide both a higher average return and lower variability in returns compared to Pepsi. This combination may make Coca-Cola more appealing to investors who seek a balance between profitability and stability.</t>
  </si>
  <si>
    <t>In conclusion, the portfolio analysis indicates that Coca-Cola demonstrates stronger performance in terms of both average returns and risk stability relative to Pepsi. While Coca-Cola shows higher returns and lower volatility, investors should still consider other factors such as market conditions, diversification strategies, and long-term investment goals. As with any financial analysis, past performance does not guarantee future results, and investment decisions should always be made with careful consideration of both risk and potential reward.</t>
  </si>
  <si>
    <t>COLA daily return minus the 10-year Treasury return</t>
  </si>
  <si>
    <t>DAILY ADJ. RETURN ON S&amp;P 500 INDEX (^SPX) minus DAILY 10-year U.S. Treasury note RETURN</t>
  </si>
  <si>
    <t>GSPC</t>
  </si>
  <si>
    <t>DO NOT CHANGE THIS COLUMN</t>
  </si>
  <si>
    <t>PEP daily return minus the 10-year Treasury return</t>
  </si>
  <si>
    <t>0,70%</t>
  </si>
  <si>
    <t>1,02%</t>
  </si>
  <si>
    <t>2,65%</t>
  </si>
  <si>
    <t>6,26%</t>
  </si>
  <si>
    <t>3,46%</t>
  </si>
  <si>
    <t>-1,19%</t>
  </si>
  <si>
    <t>-0,10%</t>
  </si>
  <si>
    <t>4,58%</t>
  </si>
  <si>
    <t>2,01%</t>
  </si>
  <si>
    <t>-1,63%</t>
  </si>
  <si>
    <t>-1,07%</t>
  </si>
  <si>
    <t>-1,08%</t>
  </si>
  <si>
    <t>-0,27%</t>
  </si>
  <si>
    <t>-2,96%</t>
  </si>
  <si>
    <t>COLA REGRESSION</t>
  </si>
  <si>
    <t>-0,65%</t>
  </si>
  <si>
    <t>-1,65%</t>
  </si>
  <si>
    <t>-4,27%</t>
  </si>
  <si>
    <t>-2,50%</t>
  </si>
  <si>
    <t>0,23%</t>
  </si>
  <si>
    <t>1,65%</t>
  </si>
  <si>
    <t>2,52%</t>
  </si>
  <si>
    <t>0,33%</t>
  </si>
  <si>
    <t>0,86%</t>
  </si>
  <si>
    <t>2,03%</t>
  </si>
  <si>
    <t>2,40%</t>
  </si>
  <si>
    <t>-2,14%</t>
  </si>
  <si>
    <t>-1,16%</t>
  </si>
  <si>
    <t>-3,60%</t>
  </si>
  <si>
    <t>1,85%</t>
  </si>
  <si>
    <t>-1,41%</t>
  </si>
  <si>
    <t>2,09%</t>
  </si>
  <si>
    <t>2,42%</t>
  </si>
  <si>
    <t>PEPSI REGRESSION</t>
  </si>
  <si>
    <t>0,57%</t>
  </si>
  <si>
    <t>5,71%</t>
  </si>
  <si>
    <t>1,50%</t>
  </si>
  <si>
    <t>1,09%</t>
  </si>
  <si>
    <t>-0,88%</t>
  </si>
  <si>
    <t>-0,93%</t>
  </si>
  <si>
    <t>-1,39%</t>
  </si>
  <si>
    <t>-1,23%</t>
  </si>
  <si>
    <t>-1,50%</t>
  </si>
  <si>
    <t>-1,52%</t>
  </si>
  <si>
    <t>-1,62%</t>
  </si>
  <si>
    <t>-0,66%</t>
  </si>
  <si>
    <t>0,30%</t>
  </si>
  <si>
    <t>-0,51%</t>
  </si>
  <si>
    <t>-0,61%</t>
  </si>
  <si>
    <t>3,57%</t>
  </si>
  <si>
    <t>2,15%</t>
  </si>
  <si>
    <t>4,26%</t>
  </si>
  <si>
    <t>-0,44%</t>
  </si>
  <si>
    <t>-2,91%</t>
  </si>
  <si>
    <t>-0,97%</t>
  </si>
  <si>
    <t>0,14%</t>
  </si>
  <si>
    <t>-0,03%</t>
  </si>
  <si>
    <t>5,90%</t>
  </si>
  <si>
    <t>-2,08%</t>
  </si>
  <si>
    <t>-0,09%</t>
  </si>
  <si>
    <t>1,44%</t>
  </si>
  <si>
    <t>3,31%</t>
  </si>
  <si>
    <t>2,17%</t>
  </si>
  <si>
    <t>1,52%</t>
  </si>
  <si>
    <t>-0,47%</t>
  </si>
  <si>
    <t>-1,36%</t>
  </si>
  <si>
    <t>-1,03%</t>
  </si>
  <si>
    <t>0,46%</t>
  </si>
  <si>
    <t>1,63%</t>
  </si>
  <si>
    <t>-0,31%</t>
  </si>
  <si>
    <t>-2,00%</t>
  </si>
  <si>
    <t>2,10%</t>
  </si>
  <si>
    <t>1,18%</t>
  </si>
  <si>
    <t>-1,58%</t>
  </si>
  <si>
    <t>-2,47%</t>
  </si>
  <si>
    <t>-0,36%</t>
  </si>
  <si>
    <t>0,28%</t>
  </si>
  <si>
    <t>-6,62%</t>
  </si>
  <si>
    <t>2,20%</t>
  </si>
  <si>
    <t>-1,10%</t>
  </si>
  <si>
    <t>2,13%</t>
  </si>
  <si>
    <t>-1,48%</t>
  </si>
  <si>
    <t>-0,62%</t>
  </si>
  <si>
    <t>-1,78%</t>
  </si>
  <si>
    <t>-3,17%</t>
  </si>
  <si>
    <t>2,62%</t>
  </si>
  <si>
    <t>-2,11%</t>
  </si>
  <si>
    <t>-0,20%</t>
  </si>
  <si>
    <t>0,64%</t>
  </si>
  <si>
    <t>3,60%</t>
  </si>
  <si>
    <t>-0,02%</t>
  </si>
  <si>
    <t>7,89%</t>
  </si>
  <si>
    <t>7,05%</t>
  </si>
  <si>
    <t>-0,82%</t>
  </si>
  <si>
    <t>2,49%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</si>
</sst>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mmm d, yyyy"/>
    <numFmt numFmtId="166" formatCode="mmmm d, yyyy"/>
    <numFmt numFmtId="167" formatCode="#,##0.0000"/>
    <numFmt numFmtId="168" formatCode="#,##0.00000"/>
    <numFmt numFmtId="169" formatCode="0.0000%"/>
  </numFmts>
  <fonts count="22">
    <font>
      <sz val="10.0"/>
      <color rgb="FF000000"/>
      <name val="Arial"/>
      <scheme val="minor"/>
    </font>
    <font>
      <color theme="1"/>
      <name val="Arial"/>
      <scheme val="minor"/>
    </font>
    <font>
      <sz val="9.0"/>
      <color rgb="FF232A31"/>
      <name val="&quot;GT America&quot;"/>
    </font>
    <font>
      <sz val="11.0"/>
      <color rgb="FF232A31"/>
      <name val="&quot;GT America&quot;"/>
    </font>
    <font>
      <b/>
      <sz val="11.0"/>
      <color rgb="FF232A31"/>
      <name val="&quot;GT America&quot;"/>
    </font>
    <font/>
    <font>
      <color theme="1"/>
      <name val="Arial"/>
    </font>
    <font>
      <sz val="9.0"/>
      <color rgb="FF232A31"/>
      <name val="GT America"/>
    </font>
    <font>
      <sz val="11.0"/>
      <color rgb="FF232A31"/>
      <name val="GT America"/>
    </font>
    <font>
      <b/>
      <sz val="11.0"/>
      <color rgb="FF232A31"/>
      <name val="GT America"/>
    </font>
    <font>
      <b/>
      <sz val="10.0"/>
      <color theme="1"/>
      <name val="Arial"/>
    </font>
    <font>
      <b/>
      <color theme="1"/>
      <name val="Arial"/>
      <scheme val="minor"/>
    </font>
    <font>
      <b/>
      <color theme="1"/>
      <name val="Arial"/>
    </font>
    <font>
      <b/>
      <sz val="9.0"/>
      <color theme="1"/>
      <name val="Arial"/>
    </font>
    <font>
      <color theme="1"/>
      <name val="Aptos Narrow"/>
    </font>
    <font>
      <sz val="11.0"/>
      <color rgb="FF232A31"/>
      <name val="Arial"/>
    </font>
    <font>
      <b/>
      <color rgb="FFFF0000"/>
      <name val="Arial"/>
    </font>
    <font>
      <color theme="1"/>
      <name val="&quot;Google Sans Text&quot;"/>
    </font>
    <font>
      <sz val="12.0"/>
      <color rgb="FF000000"/>
      <name val="Roboto"/>
    </font>
    <font>
      <b/>
      <color theme="1"/>
      <name val="Roboto"/>
    </font>
    <font>
      <b/>
      <sz val="8.0"/>
      <color theme="1"/>
      <name val="Roboto"/>
    </font>
    <font>
      <color theme="1"/>
      <name val="Roboto"/>
    </font>
  </fonts>
  <fills count="12">
    <fill>
      <patternFill patternType="none"/>
    </fill>
    <fill>
      <patternFill patternType="lightGray"/>
    </fill>
    <fill>
      <patternFill patternType="solid">
        <fgColor rgb="FF00FFFF"/>
        <bgColor rgb="FF00FFFF"/>
      </patternFill>
    </fill>
    <fill>
      <patternFill patternType="solid">
        <fgColor rgb="FFF2F5F7"/>
        <bgColor rgb="FFF2F5F7"/>
      </patternFill>
    </fill>
    <fill>
      <patternFill patternType="solid">
        <fgColor rgb="FFFFFFFF"/>
        <bgColor rgb="FFFFFFFF"/>
      </patternFill>
    </fill>
    <fill>
      <patternFill patternType="solid">
        <fgColor rgb="FFDDE0E4"/>
        <bgColor rgb="FFDDE0E4"/>
      </patternFill>
    </fill>
    <fill>
      <patternFill patternType="solid">
        <fgColor rgb="FFFFFF00"/>
        <bgColor rgb="FFFFFF00"/>
      </patternFill>
    </fill>
    <fill>
      <patternFill patternType="solid">
        <fgColor rgb="FF00FF00"/>
        <bgColor rgb="FF00FF00"/>
      </patternFill>
    </fill>
    <fill>
      <patternFill patternType="solid">
        <fgColor rgb="FFEFEFEF"/>
        <bgColor rgb="FFEFEFEF"/>
      </patternFill>
    </fill>
    <fill>
      <patternFill patternType="solid">
        <fgColor rgb="FFB7B7B7"/>
        <bgColor rgb="FFB7B7B7"/>
      </patternFill>
    </fill>
    <fill>
      <patternFill patternType="solid">
        <fgColor rgb="FFFF00FF"/>
        <bgColor rgb="FFFF00FF"/>
      </patternFill>
    </fill>
    <fill>
      <patternFill patternType="solid">
        <fgColor rgb="FFEA9999"/>
        <bgColor rgb="FFEA999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164" xfId="0" applyAlignment="1" applyBorder="1" applyFill="1" applyFont="1" applyNumberFormat="1">
      <alignment readingOrder="0"/>
    </xf>
    <xf borderId="1" fillId="2" fontId="1" numFmtId="0" xfId="0" applyBorder="1" applyFont="1"/>
    <xf borderId="1" fillId="2" fontId="2" numFmtId="164" xfId="0" applyAlignment="1" applyBorder="1" applyFont="1" applyNumberFormat="1">
      <alignment horizontal="left" readingOrder="0" shrinkToFit="0" wrapText="0"/>
    </xf>
    <xf borderId="1" fillId="2" fontId="2" numFmtId="0" xfId="0" applyAlignment="1" applyBorder="1" applyFont="1">
      <alignment horizontal="right" readingOrder="0" shrinkToFit="0" wrapText="0"/>
    </xf>
    <xf borderId="1" fillId="3" fontId="3" numFmtId="164" xfId="0" applyAlignment="1" applyBorder="1" applyFill="1" applyFont="1" applyNumberFormat="1">
      <alignment horizontal="left" readingOrder="0" shrinkToFit="0" wrapText="0"/>
    </xf>
    <xf borderId="1" fillId="3" fontId="3" numFmtId="0" xfId="0" applyAlignment="1" applyBorder="1" applyFont="1">
      <alignment horizontal="right" readingOrder="0" shrinkToFit="0" wrapText="0"/>
    </xf>
    <xf borderId="1" fillId="3" fontId="3" numFmtId="3" xfId="0" applyAlignment="1" applyBorder="1" applyFont="1" applyNumberFormat="1">
      <alignment horizontal="right" readingOrder="0" shrinkToFit="0" wrapText="0"/>
    </xf>
    <xf borderId="0" fillId="4" fontId="2" numFmtId="0" xfId="0" applyAlignment="1" applyFill="1" applyFont="1">
      <alignment horizontal="left" readingOrder="0" shrinkToFit="0" wrapText="0"/>
    </xf>
    <xf borderId="0" fillId="4" fontId="2" numFmtId="0" xfId="0" applyAlignment="1" applyFont="1">
      <alignment horizontal="right" readingOrder="0" shrinkToFit="0" wrapText="0"/>
    </xf>
    <xf borderId="1" fillId="4" fontId="3" numFmtId="164" xfId="0" applyAlignment="1" applyBorder="1" applyFont="1" applyNumberFormat="1">
      <alignment horizontal="left" readingOrder="0" shrinkToFit="0" wrapText="0"/>
    </xf>
    <xf borderId="1" fillId="4" fontId="3" numFmtId="0" xfId="0" applyAlignment="1" applyBorder="1" applyFont="1">
      <alignment horizontal="right" readingOrder="0" shrinkToFit="0" wrapText="0"/>
    </xf>
    <xf borderId="1" fillId="4" fontId="3" numFmtId="3" xfId="0" applyAlignment="1" applyBorder="1" applyFont="1" applyNumberFormat="1">
      <alignment horizontal="right" readingOrder="0" shrinkToFit="0" wrapText="0"/>
    </xf>
    <xf borderId="0" fillId="3" fontId="3" numFmtId="165" xfId="0" applyAlignment="1" applyFont="1" applyNumberFormat="1">
      <alignment horizontal="left" readingOrder="0" shrinkToFit="0" wrapText="0"/>
    </xf>
    <xf borderId="0" fillId="3" fontId="3" numFmtId="0" xfId="0" applyAlignment="1" applyFont="1">
      <alignment horizontal="right" readingOrder="0" shrinkToFit="0" wrapText="0"/>
    </xf>
    <xf borderId="0" fillId="3" fontId="3" numFmtId="3" xfId="0" applyAlignment="1" applyFont="1" applyNumberFormat="1">
      <alignment horizontal="right" readingOrder="0" shrinkToFit="0" wrapText="0"/>
    </xf>
    <xf borderId="0" fillId="4" fontId="3" numFmtId="165" xfId="0" applyAlignment="1" applyFont="1" applyNumberFormat="1">
      <alignment horizontal="left" readingOrder="0" shrinkToFit="0" wrapText="0"/>
    </xf>
    <xf borderId="0" fillId="4" fontId="3" numFmtId="0" xfId="0" applyAlignment="1" applyFont="1">
      <alignment horizontal="right" readingOrder="0" shrinkToFit="0" wrapText="0"/>
    </xf>
    <xf borderId="0" fillId="4" fontId="3" numFmtId="3" xfId="0" applyAlignment="1" applyFont="1" applyNumberFormat="1">
      <alignment horizontal="right" readingOrder="0" shrinkToFit="0" wrapText="0"/>
    </xf>
    <xf borderId="2" fillId="4" fontId="4" numFmtId="0" xfId="0" applyAlignment="1" applyBorder="1" applyFont="1">
      <alignment horizontal="center" readingOrder="0" shrinkToFit="0" wrapText="0"/>
    </xf>
    <xf borderId="3" fillId="0" fontId="5" numFmtId="0" xfId="0" applyBorder="1" applyFont="1"/>
    <xf borderId="4" fillId="0" fontId="5" numFmtId="0" xfId="0" applyBorder="1" applyFont="1"/>
    <xf borderId="0" fillId="4" fontId="4" numFmtId="0" xfId="0" applyAlignment="1" applyFont="1">
      <alignment horizontal="center" readingOrder="0" shrinkToFit="0" wrapText="0"/>
    </xf>
    <xf borderId="2" fillId="3" fontId="4" numFmtId="0" xfId="0" applyAlignment="1" applyBorder="1" applyFont="1">
      <alignment horizontal="center" readingOrder="0" shrinkToFit="0" wrapText="0"/>
    </xf>
    <xf borderId="0" fillId="4" fontId="3" numFmtId="166" xfId="0" applyAlignment="1" applyFont="1" applyNumberFormat="1">
      <alignment horizontal="left" readingOrder="0" shrinkToFit="0" wrapText="0"/>
    </xf>
    <xf borderId="0" fillId="3" fontId="3" numFmtId="166" xfId="0" applyAlignment="1" applyFont="1" applyNumberFormat="1">
      <alignment horizontal="left" readingOrder="0" shrinkToFit="0" wrapText="0"/>
    </xf>
    <xf borderId="1" fillId="5" fontId="3" numFmtId="164" xfId="0" applyAlignment="1" applyBorder="1" applyFill="1" applyFont="1" applyNumberFormat="1">
      <alignment horizontal="left" readingOrder="0" shrinkToFit="0" wrapText="0"/>
    </xf>
    <xf borderId="1" fillId="5" fontId="3" numFmtId="0" xfId="0" applyAlignment="1" applyBorder="1" applyFont="1">
      <alignment horizontal="right" readingOrder="0" shrinkToFit="0" wrapText="0"/>
    </xf>
    <xf borderId="1" fillId="5" fontId="3" numFmtId="3" xfId="0" applyAlignment="1" applyBorder="1" applyFont="1" applyNumberFormat="1">
      <alignment horizontal="right" readingOrder="0" shrinkToFit="0" wrapText="0"/>
    </xf>
    <xf borderId="0" fillId="5" fontId="3" numFmtId="165" xfId="0" applyAlignment="1" applyFont="1" applyNumberFormat="1">
      <alignment horizontal="left" readingOrder="0" shrinkToFit="0" wrapText="0"/>
    </xf>
    <xf borderId="0" fillId="5" fontId="3" numFmtId="0" xfId="0" applyAlignment="1" applyFont="1">
      <alignment horizontal="right" readingOrder="0" shrinkToFit="0" wrapText="0"/>
    </xf>
    <xf borderId="0" fillId="5" fontId="3" numFmtId="3" xfId="0" applyAlignment="1" applyFont="1" applyNumberFormat="1">
      <alignment horizontal="right" readingOrder="0" shrinkToFit="0" wrapText="0"/>
    </xf>
    <xf borderId="0" fillId="0" fontId="1" numFmtId="164" xfId="0" applyFont="1" applyNumberFormat="1"/>
    <xf borderId="1" fillId="2" fontId="6" numFmtId="0" xfId="0" applyAlignment="1" applyBorder="1" applyFont="1">
      <alignment vertical="bottom"/>
    </xf>
    <xf borderId="1" fillId="2" fontId="7" numFmtId="0" xfId="0" applyAlignment="1" applyBorder="1" applyFont="1">
      <alignment vertical="bottom"/>
    </xf>
    <xf borderId="1" fillId="2" fontId="7" numFmtId="0" xfId="0" applyAlignment="1" applyBorder="1" applyFont="1">
      <alignment horizontal="right" vertical="bottom"/>
    </xf>
    <xf borderId="1" fillId="3" fontId="8" numFmtId="164" xfId="0" applyAlignment="1" applyBorder="1" applyFont="1" applyNumberFormat="1">
      <alignment vertical="bottom"/>
    </xf>
    <xf borderId="1" fillId="3" fontId="8" numFmtId="0" xfId="0" applyAlignment="1" applyBorder="1" applyFont="1">
      <alignment horizontal="right" vertical="bottom"/>
    </xf>
    <xf borderId="1" fillId="3" fontId="8" numFmtId="3" xfId="0" applyAlignment="1" applyBorder="1" applyFont="1" applyNumberFormat="1">
      <alignment horizontal="right" vertical="bottom"/>
    </xf>
    <xf borderId="1" fillId="4" fontId="8" numFmtId="164" xfId="0" applyAlignment="1" applyBorder="1" applyFont="1" applyNumberFormat="1">
      <alignment vertical="bottom"/>
    </xf>
    <xf borderId="1" fillId="4" fontId="8" numFmtId="0" xfId="0" applyAlignment="1" applyBorder="1" applyFont="1">
      <alignment horizontal="right" vertical="bottom"/>
    </xf>
    <xf borderId="1" fillId="4" fontId="8" numFmtId="3" xfId="0" applyAlignment="1" applyBorder="1" applyFont="1" applyNumberFormat="1">
      <alignment horizontal="right" vertical="bottom"/>
    </xf>
    <xf borderId="2" fillId="4" fontId="9" numFmtId="0" xfId="0" applyAlignment="1" applyBorder="1" applyFont="1">
      <alignment horizontal="center" vertical="bottom"/>
    </xf>
    <xf borderId="1" fillId="5" fontId="8" numFmtId="164" xfId="0" applyAlignment="1" applyBorder="1" applyFont="1" applyNumberFormat="1">
      <alignment vertical="bottom"/>
    </xf>
    <xf borderId="1" fillId="5" fontId="8" numFmtId="0" xfId="0" applyAlignment="1" applyBorder="1" applyFont="1">
      <alignment horizontal="right" vertical="bottom"/>
    </xf>
    <xf borderId="1" fillId="5" fontId="8" numFmtId="3" xfId="0" applyAlignment="1" applyBorder="1" applyFont="1" applyNumberFormat="1">
      <alignment horizontal="right" vertical="bottom"/>
    </xf>
    <xf borderId="0" fillId="2" fontId="1" numFmtId="0" xfId="0" applyAlignment="1" applyFont="1">
      <alignment readingOrder="0"/>
    </xf>
    <xf borderId="0" fillId="2" fontId="1" numFmtId="0" xfId="0" applyFont="1"/>
    <xf borderId="0" fillId="2" fontId="10" numFmtId="4" xfId="0" applyAlignment="1" applyFont="1" applyNumberFormat="1">
      <alignment horizontal="center" shrinkToFit="0" vertical="top" wrapText="1"/>
    </xf>
    <xf borderId="0" fillId="2" fontId="6" numFmtId="10" xfId="0" applyAlignment="1" applyFont="1" applyNumberFormat="1">
      <alignment horizontal="left" readingOrder="0" shrinkToFit="0" wrapText="1"/>
    </xf>
    <xf borderId="0" fillId="4" fontId="7" numFmtId="0" xfId="0" applyAlignment="1" applyFont="1">
      <alignment horizontal="right" vertical="bottom"/>
    </xf>
    <xf borderId="0" fillId="0" fontId="1" numFmtId="0" xfId="0" applyAlignment="1" applyFont="1">
      <alignment readingOrder="0"/>
    </xf>
    <xf borderId="0" fillId="3" fontId="3" numFmtId="164" xfId="0" applyAlignment="1" applyFont="1" applyNumberFormat="1">
      <alignment horizontal="left" readingOrder="0" shrinkToFit="0" wrapText="0"/>
    </xf>
    <xf borderId="0" fillId="3" fontId="8" numFmtId="164" xfId="0" applyAlignment="1" applyFont="1" applyNumberFormat="1">
      <alignment vertical="bottom"/>
    </xf>
    <xf borderId="0" fillId="3" fontId="8" numFmtId="0" xfId="0" applyAlignment="1" applyFont="1">
      <alignment horizontal="right" vertical="bottom"/>
    </xf>
    <xf borderId="0" fillId="0" fontId="1" numFmtId="10" xfId="0" applyFont="1" applyNumberFormat="1"/>
    <xf borderId="0" fillId="4" fontId="3" numFmtId="164" xfId="0" applyAlignment="1" applyFont="1" applyNumberFormat="1">
      <alignment horizontal="left" readingOrder="0" shrinkToFit="0" wrapText="0"/>
    </xf>
    <xf borderId="0" fillId="4" fontId="8" numFmtId="164" xfId="0" applyAlignment="1" applyFont="1" applyNumberFormat="1">
      <alignment vertical="bottom"/>
    </xf>
    <xf borderId="0" fillId="4" fontId="8" numFmtId="0" xfId="0" applyAlignment="1" applyFont="1">
      <alignment horizontal="right" vertical="bottom"/>
    </xf>
    <xf borderId="0" fillId="5" fontId="3" numFmtId="164" xfId="0" applyAlignment="1" applyFont="1" applyNumberFormat="1">
      <alignment horizontal="left" readingOrder="0" shrinkToFit="0" wrapText="0"/>
    </xf>
    <xf borderId="0" fillId="5" fontId="8" numFmtId="164" xfId="0" applyAlignment="1" applyFont="1" applyNumberFormat="1">
      <alignment vertical="bottom"/>
    </xf>
    <xf borderId="0" fillId="5" fontId="8" numFmtId="0" xfId="0" applyAlignment="1" applyFont="1">
      <alignment horizontal="right" vertical="bottom"/>
    </xf>
    <xf borderId="0" fillId="6" fontId="1" numFmtId="0" xfId="0" applyFill="1" applyFont="1"/>
    <xf borderId="0" fillId="6" fontId="10" numFmtId="4" xfId="0" applyAlignment="1" applyFont="1" applyNumberFormat="1">
      <alignment horizontal="center" readingOrder="0" shrinkToFit="0" vertical="top" wrapText="1"/>
    </xf>
    <xf borderId="0" fillId="6" fontId="11" numFmtId="0" xfId="0" applyAlignment="1" applyFont="1">
      <alignment readingOrder="0" shrinkToFit="0" wrapText="1"/>
    </xf>
    <xf borderId="0" fillId="7" fontId="1" numFmtId="0" xfId="0" applyFill="1" applyFont="1"/>
    <xf borderId="0" fillId="7" fontId="11" numFmtId="0" xfId="0" applyAlignment="1" applyFont="1">
      <alignment readingOrder="0"/>
    </xf>
    <xf borderId="0" fillId="2" fontId="11" numFmtId="0" xfId="0" applyAlignment="1" applyFont="1">
      <alignment readingOrder="0"/>
    </xf>
    <xf borderId="0" fillId="2" fontId="12" numFmtId="0" xfId="0" applyAlignment="1" applyFont="1">
      <alignment vertical="bottom"/>
    </xf>
    <xf borderId="0" fillId="2" fontId="1" numFmtId="10" xfId="0" applyAlignment="1" applyFont="1" applyNumberFormat="1">
      <alignment readingOrder="0"/>
    </xf>
    <xf borderId="0" fillId="2" fontId="1" numFmtId="10" xfId="0" applyFont="1" applyNumberFormat="1"/>
    <xf borderId="0" fillId="2" fontId="13" numFmtId="0" xfId="0" applyAlignment="1" applyFont="1">
      <alignment vertical="bottom"/>
    </xf>
    <xf borderId="0" fillId="0" fontId="1" numFmtId="164" xfId="0" applyAlignment="1" applyFont="1" applyNumberFormat="1">
      <alignment readingOrder="0"/>
    </xf>
    <xf borderId="0" fillId="0" fontId="1" numFmtId="4" xfId="0" applyAlignment="1" applyFont="1" applyNumberFormat="1">
      <alignment readingOrder="0"/>
    </xf>
    <xf borderId="0" fillId="0" fontId="6" numFmtId="3" xfId="0" applyAlignment="1" applyFont="1" applyNumberFormat="1">
      <alignment readingOrder="0" vertical="bottom"/>
    </xf>
    <xf borderId="0" fillId="0" fontId="14" numFmtId="3" xfId="0" applyAlignment="1" applyFont="1" applyNumberFormat="1">
      <alignment vertical="bottom"/>
    </xf>
    <xf borderId="1" fillId="6" fontId="1" numFmtId="0" xfId="0" applyAlignment="1" applyBorder="1" applyFont="1">
      <alignment readingOrder="0"/>
    </xf>
    <xf borderId="1" fillId="6" fontId="10" numFmtId="4" xfId="0" applyAlignment="1" applyBorder="1" applyFont="1" applyNumberFormat="1">
      <alignment horizontal="center" readingOrder="0" shrinkToFit="0" vertical="top" wrapText="1"/>
    </xf>
    <xf borderId="1" fillId="6" fontId="11" numFmtId="0" xfId="0" applyAlignment="1" applyBorder="1" applyFont="1">
      <alignment readingOrder="0" shrinkToFit="0" wrapText="1"/>
    </xf>
    <xf borderId="0" fillId="0" fontId="6" numFmtId="0" xfId="0" applyAlignment="1" applyFont="1">
      <alignment vertical="bottom"/>
    </xf>
    <xf borderId="0" fillId="0" fontId="12" numFmtId="2" xfId="0" applyAlignment="1" applyFont="1" applyNumberFormat="1">
      <alignment horizontal="center" vertical="bottom"/>
    </xf>
    <xf borderId="0" fillId="0" fontId="12" numFmtId="0" xfId="0" applyAlignment="1" applyFont="1">
      <alignment horizontal="center" vertical="bottom"/>
    </xf>
    <xf borderId="1" fillId="3" fontId="15" numFmtId="0" xfId="0" applyAlignment="1" applyBorder="1" applyFont="1">
      <alignment horizontal="left" readingOrder="0" shrinkToFit="0" wrapText="0"/>
    </xf>
    <xf borderId="1" fillId="0" fontId="1" numFmtId="0" xfId="0" applyBorder="1" applyFont="1"/>
    <xf borderId="0" fillId="0" fontId="12" numFmtId="0" xfId="0" applyAlignment="1" applyFont="1">
      <alignment vertical="bottom"/>
    </xf>
    <xf borderId="5" fillId="7" fontId="12" numFmtId="10" xfId="0" applyAlignment="1" applyBorder="1" applyFont="1" applyNumberFormat="1">
      <alignment horizontal="center" vertical="bottom"/>
    </xf>
    <xf borderId="5" fillId="7" fontId="6" numFmtId="10" xfId="0" applyAlignment="1" applyBorder="1" applyFont="1" applyNumberFormat="1">
      <alignment horizontal="center" vertical="bottom"/>
    </xf>
    <xf quotePrefix="1" borderId="1" fillId="4" fontId="15" numFmtId="0" xfId="0" applyAlignment="1" applyBorder="1" applyFont="1">
      <alignment horizontal="left" shrinkToFit="0" wrapText="0"/>
    </xf>
    <xf borderId="1" fillId="0" fontId="1" numFmtId="10" xfId="0" applyBorder="1" applyFont="1" applyNumberFormat="1"/>
    <xf borderId="0" fillId="0" fontId="12" numFmtId="10" xfId="0" applyAlignment="1" applyFont="1" applyNumberFormat="1">
      <alignment horizontal="center" vertical="bottom"/>
    </xf>
    <xf borderId="1" fillId="3" fontId="15" numFmtId="0" xfId="0" applyAlignment="1" applyBorder="1" applyFont="1">
      <alignment horizontal="left" shrinkToFit="0" wrapText="0"/>
    </xf>
    <xf borderId="0" fillId="0" fontId="16" numFmtId="10" xfId="0" applyAlignment="1" applyFont="1" applyNumberFormat="1">
      <alignment horizontal="center" vertical="bottom"/>
    </xf>
    <xf borderId="1" fillId="0" fontId="6" numFmtId="0" xfId="0" applyAlignment="1" applyBorder="1" applyFont="1">
      <alignment vertical="bottom"/>
    </xf>
    <xf borderId="1" fillId="0" fontId="12" numFmtId="2" xfId="0" applyAlignment="1" applyBorder="1" applyFont="1" applyNumberFormat="1">
      <alignment horizontal="center" vertical="bottom"/>
    </xf>
    <xf borderId="1" fillId="0" fontId="12" numFmtId="0" xfId="0" applyAlignment="1" applyBorder="1" applyFont="1">
      <alignment horizontal="center" vertical="bottom"/>
    </xf>
    <xf borderId="1" fillId="0" fontId="12" numFmtId="0" xfId="0" applyAlignment="1" applyBorder="1" applyFont="1">
      <alignment vertical="bottom"/>
    </xf>
    <xf borderId="1" fillId="7" fontId="12" numFmtId="10" xfId="0" applyAlignment="1" applyBorder="1" applyFont="1" applyNumberFormat="1">
      <alignment horizontal="center" vertical="bottom"/>
    </xf>
    <xf borderId="1" fillId="7" fontId="6" numFmtId="10" xfId="0" applyAlignment="1" applyBorder="1" applyFont="1" applyNumberFormat="1">
      <alignment horizontal="center" vertical="bottom"/>
    </xf>
    <xf borderId="1" fillId="0" fontId="12" numFmtId="10" xfId="0" applyAlignment="1" applyBorder="1" applyFont="1" applyNumberFormat="1">
      <alignment horizontal="center" vertical="bottom"/>
    </xf>
    <xf borderId="1" fillId="0" fontId="16" numFmtId="10" xfId="0" applyAlignment="1" applyBorder="1" applyFont="1" applyNumberFormat="1">
      <alignment horizontal="center" vertical="bottom"/>
    </xf>
    <xf borderId="1" fillId="0" fontId="1" numFmtId="0" xfId="0" applyAlignment="1" applyBorder="1" applyFont="1">
      <alignment readingOrder="0"/>
    </xf>
    <xf borderId="1" fillId="0" fontId="1" numFmtId="4" xfId="0" applyBorder="1" applyFont="1" applyNumberFormat="1"/>
    <xf borderId="0" fillId="4" fontId="1" numFmtId="0" xfId="0" applyAlignment="1" applyFont="1">
      <alignment readingOrder="0"/>
    </xf>
    <xf borderId="0" fillId="6" fontId="12" numFmtId="4" xfId="0" applyAlignment="1" applyFont="1" applyNumberFormat="1">
      <alignment horizontal="center" shrinkToFit="0" vertical="top" wrapText="1"/>
    </xf>
    <xf borderId="0" fillId="6" fontId="12" numFmtId="0" xfId="0" applyAlignment="1" applyFont="1">
      <alignment horizontal="center" shrinkToFit="0" vertical="top" wrapText="1"/>
    </xf>
    <xf borderId="0" fillId="0" fontId="1" numFmtId="0" xfId="0" applyFont="1"/>
    <xf borderId="0" fillId="0" fontId="17" numFmtId="0" xfId="0" applyAlignment="1" applyFont="1">
      <alignment readingOrder="0"/>
    </xf>
    <xf borderId="0" fillId="6" fontId="12" numFmtId="167" xfId="0" applyAlignment="1" applyFont="1" applyNumberFormat="1">
      <alignment horizontal="center" shrinkToFit="0" vertical="top" wrapText="1"/>
    </xf>
    <xf borderId="0" fillId="0" fontId="1" numFmtId="167" xfId="0" applyFont="1" applyNumberFormat="1"/>
    <xf borderId="0" fillId="0" fontId="1" numFmtId="167" xfId="0" applyAlignment="1" applyFont="1" applyNumberFormat="1">
      <alignment readingOrder="0"/>
    </xf>
    <xf borderId="0" fillId="0" fontId="6" numFmtId="167" xfId="0" applyAlignment="1" applyFont="1" applyNumberFormat="1">
      <alignment vertical="bottom"/>
    </xf>
    <xf borderId="0" fillId="0" fontId="14" numFmtId="2" xfId="0" applyAlignment="1" applyFont="1" applyNumberFormat="1">
      <alignment vertical="top"/>
    </xf>
    <xf borderId="0" fillId="0" fontId="12" numFmtId="2" xfId="0" applyAlignment="1" applyFont="1" applyNumberFormat="1">
      <alignment horizontal="center" shrinkToFit="0" vertical="top" wrapText="1"/>
    </xf>
    <xf borderId="0" fillId="0" fontId="12" numFmtId="0" xfId="0" applyAlignment="1" applyFont="1">
      <alignment horizontal="center" shrinkToFit="0" vertical="top" wrapText="1"/>
    </xf>
    <xf borderId="5" fillId="8" fontId="12" numFmtId="4" xfId="0" applyAlignment="1" applyBorder="1" applyFill="1" applyFont="1" applyNumberFormat="1">
      <alignment horizontal="center" vertical="bottom"/>
    </xf>
    <xf borderId="5" fillId="8" fontId="12" numFmtId="168" xfId="0" applyAlignment="1" applyBorder="1" applyFont="1" applyNumberFormat="1">
      <alignment horizontal="center" vertical="bottom"/>
    </xf>
    <xf borderId="5" fillId="8" fontId="14" numFmtId="4" xfId="0" applyAlignment="1" applyBorder="1" applyFont="1" applyNumberFormat="1">
      <alignment vertical="bottom"/>
    </xf>
    <xf borderId="1" fillId="0" fontId="1" numFmtId="169" xfId="0" applyBorder="1" applyFont="1" applyNumberFormat="1"/>
    <xf borderId="0" fillId="0" fontId="1" numFmtId="3" xfId="0" applyAlignment="1" applyFont="1" applyNumberFormat="1">
      <alignment readingOrder="0"/>
    </xf>
    <xf borderId="5" fillId="9" fontId="12" numFmtId="2" xfId="0" applyAlignment="1" applyBorder="1" applyFill="1" applyFont="1" applyNumberFormat="1">
      <alignment horizontal="right" vertical="bottom"/>
    </xf>
    <xf borderId="5" fillId="9" fontId="12" numFmtId="2" xfId="0" applyAlignment="1" applyBorder="1" applyFont="1" applyNumberFormat="1">
      <alignment vertical="bottom"/>
    </xf>
    <xf borderId="0" fillId="0" fontId="1" numFmtId="4" xfId="0" applyFont="1" applyNumberFormat="1"/>
    <xf borderId="0" fillId="0" fontId="6" numFmtId="0" xfId="0" applyAlignment="1" applyFont="1">
      <alignment readingOrder="0"/>
    </xf>
    <xf borderId="0" fillId="4" fontId="18" numFmtId="0" xfId="0" applyAlignment="1" applyFont="1">
      <alignment readingOrder="0" shrinkToFit="0" wrapText="1"/>
    </xf>
    <xf borderId="1" fillId="10" fontId="19" numFmtId="0" xfId="0" applyAlignment="1" applyBorder="1" applyFill="1" applyFont="1">
      <alignment horizontal="center" shrinkToFit="0" vertical="top" wrapText="1"/>
    </xf>
    <xf borderId="0" fillId="0" fontId="19" numFmtId="4" xfId="0" applyAlignment="1" applyFont="1" applyNumberFormat="1">
      <alignment readingOrder="0" shrinkToFit="0" vertical="bottom" wrapText="1"/>
    </xf>
    <xf borderId="0" fillId="0" fontId="19" numFmtId="4" xfId="0" applyAlignment="1" applyFont="1" applyNumberFormat="1">
      <alignment shrinkToFit="0" vertical="bottom" wrapText="1"/>
    </xf>
    <xf borderId="6" fillId="10" fontId="20" numFmtId="0" xfId="0" applyAlignment="1" applyBorder="1" applyFont="1">
      <alignment horizontal="center" shrinkToFit="0" vertical="top" wrapText="1"/>
    </xf>
    <xf borderId="7" fillId="0" fontId="5" numFmtId="0" xfId="0" applyBorder="1" applyFont="1"/>
    <xf borderId="1" fillId="10" fontId="21" numFmtId="0" xfId="0" applyAlignment="1" applyBorder="1" applyFont="1">
      <alignment horizontal="center" vertical="top"/>
    </xf>
    <xf borderId="0" fillId="0" fontId="19" numFmtId="3" xfId="0" applyAlignment="1" applyFont="1" applyNumberFormat="1">
      <alignment readingOrder="0" shrinkToFit="0" vertical="bottom" wrapText="1"/>
    </xf>
    <xf borderId="1" fillId="6" fontId="10" numFmtId="0" xfId="0" applyAlignment="1" applyBorder="1" applyFont="1">
      <alignment horizontal="center" shrinkToFit="0" vertical="top" wrapText="1"/>
    </xf>
    <xf borderId="0" fillId="0" fontId="1" numFmtId="3" xfId="0" applyFont="1" applyNumberFormat="1"/>
    <xf borderId="0" fillId="4" fontId="2" numFmtId="164" xfId="0" applyAlignment="1" applyFont="1" applyNumberFormat="1">
      <alignment horizontal="left" readingOrder="0" shrinkToFit="0" wrapText="0"/>
    </xf>
    <xf borderId="0" fillId="3" fontId="3" numFmtId="4" xfId="0" applyAlignment="1" applyFont="1" applyNumberFormat="1">
      <alignment horizontal="right" readingOrder="0" shrinkToFit="0" wrapText="0"/>
    </xf>
    <xf borderId="0" fillId="4" fontId="3" numFmtId="4" xfId="0" applyAlignment="1" applyFont="1" applyNumberFormat="1">
      <alignment horizontal="right" readingOrder="0" shrinkToFit="0" wrapText="0"/>
    </xf>
    <xf borderId="0" fillId="11" fontId="11" numFmtId="0" xfId="0" applyAlignment="1" applyFill="1" applyFont="1">
      <alignment horizontal="center" readingOrder="0" vertical="center"/>
    </xf>
    <xf borderId="0" fillId="5" fontId="3" numFmtId="4" xfId="0" applyAlignment="1" applyFont="1" applyNumberFormat="1">
      <alignment horizontal="righ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RETURN FOR KO and WEEKLY RETURN FOR PEP</a:t>
            </a:r>
          </a:p>
        </c:rich>
      </c:tx>
      <c:overlay val="0"/>
    </c:title>
    <c:plotArea>
      <c:layout/>
      <c:scatterChart>
        <c:scatterStyle val="lineMarker"/>
        <c:varyColors val="0"/>
        <c:ser>
          <c:idx val="0"/>
          <c:order val="0"/>
          <c:tx>
            <c:strRef>
              <c:f>cov!$C$1</c:f>
            </c:strRef>
          </c:tx>
          <c:spPr>
            <a:ln>
              <a:noFill/>
            </a:ln>
          </c:spPr>
          <c:marker>
            <c:symbol val="circle"/>
            <c:size val="7"/>
            <c:spPr>
              <a:solidFill>
                <a:schemeClr val="accent1"/>
              </a:solidFill>
              <a:ln cmpd="sng">
                <a:solidFill>
                  <a:schemeClr val="accent1"/>
                </a:solidFill>
              </a:ln>
            </c:spPr>
          </c:marker>
          <c:xVal>
            <c:numRef>
              <c:f>cov!$B$2:$B$1000</c:f>
            </c:numRef>
          </c:xVal>
          <c:yVal>
            <c:numRef>
              <c:f>cov!$C$2:$C$1000</c:f>
              <c:numCache/>
            </c:numRef>
          </c:yVal>
        </c:ser>
        <c:dLbls>
          <c:showLegendKey val="0"/>
          <c:showVal val="0"/>
          <c:showCatName val="0"/>
          <c:showSerName val="0"/>
          <c:showPercent val="0"/>
          <c:showBubbleSize val="0"/>
        </c:dLbls>
        <c:axId val="33740581"/>
        <c:axId val="1426171462"/>
      </c:scatterChart>
      <c:valAx>
        <c:axId val="337405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6171462"/>
      </c:valAx>
      <c:valAx>
        <c:axId val="14261714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740581"/>
      </c:valAx>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923925</xdr:colOff>
      <xdr:row>7</xdr:row>
      <xdr:rowOff>28575</xdr:rowOff>
    </xdr:from>
    <xdr:ext cx="4705350" cy="2914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962025</xdr:colOff>
      <xdr:row>0</xdr:row>
      <xdr:rowOff>657225</xdr:rowOff>
    </xdr:from>
    <xdr:ext cx="2828925" cy="14287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962025</xdr:colOff>
      <xdr:row>9</xdr:row>
      <xdr:rowOff>219075</xdr:rowOff>
    </xdr:from>
    <xdr:ext cx="2924175" cy="15525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2"/>
      <c r="C1" s="2"/>
      <c r="D1" s="2"/>
      <c r="E1" s="2"/>
      <c r="F1" s="2"/>
      <c r="G1" s="2"/>
    </row>
    <row r="2" ht="35.25" customHeight="1">
      <c r="A2" s="3" t="s">
        <v>1</v>
      </c>
      <c r="B2" s="4" t="s">
        <v>2</v>
      </c>
      <c r="C2" s="4" t="s">
        <v>3</v>
      </c>
      <c r="D2" s="4" t="s">
        <v>4</v>
      </c>
      <c r="E2" s="4" t="s">
        <v>5</v>
      </c>
      <c r="F2" s="4" t="s">
        <v>6</v>
      </c>
      <c r="G2" s="4" t="s">
        <v>7</v>
      </c>
    </row>
    <row r="3">
      <c r="A3" s="5">
        <v>46055.0</v>
      </c>
      <c r="B3" s="6">
        <v>75.01</v>
      </c>
      <c r="C3" s="6">
        <v>75.7</v>
      </c>
      <c r="D3" s="6">
        <v>74.4</v>
      </c>
      <c r="E3" s="6">
        <v>75.33</v>
      </c>
      <c r="F3" s="6">
        <v>75.33</v>
      </c>
      <c r="G3" s="7">
        <v>1.9295E7</v>
      </c>
      <c r="K3" s="8"/>
      <c r="L3" s="9"/>
      <c r="M3" s="9"/>
      <c r="N3" s="9"/>
      <c r="O3" s="9"/>
      <c r="P3" s="9"/>
      <c r="Q3" s="9"/>
    </row>
    <row r="4">
      <c r="A4" s="10">
        <v>46048.0</v>
      </c>
      <c r="B4" s="11">
        <v>72.86</v>
      </c>
      <c r="C4" s="11">
        <v>74.9</v>
      </c>
      <c r="D4" s="11">
        <v>72.27</v>
      </c>
      <c r="E4" s="11">
        <v>74.81</v>
      </c>
      <c r="F4" s="11">
        <v>74.81</v>
      </c>
      <c r="G4" s="12">
        <v>8.91729E7</v>
      </c>
      <c r="K4" s="13"/>
      <c r="L4" s="14"/>
      <c r="M4" s="14"/>
      <c r="N4" s="14"/>
      <c r="O4" s="14"/>
      <c r="P4" s="14"/>
      <c r="Q4" s="15"/>
    </row>
    <row r="5">
      <c r="A5" s="5">
        <v>46041.0</v>
      </c>
      <c r="B5" s="6">
        <v>70.0</v>
      </c>
      <c r="C5" s="6">
        <v>73.06</v>
      </c>
      <c r="D5" s="6">
        <v>69.79</v>
      </c>
      <c r="E5" s="6">
        <v>72.88</v>
      </c>
      <c r="F5" s="6">
        <v>72.88</v>
      </c>
      <c r="G5" s="7">
        <v>7.60827E7</v>
      </c>
      <c r="K5" s="16"/>
      <c r="L5" s="17"/>
      <c r="M5" s="17"/>
      <c r="N5" s="17"/>
      <c r="O5" s="17"/>
      <c r="P5" s="17"/>
      <c r="Q5" s="18"/>
    </row>
    <row r="6">
      <c r="A6" s="10">
        <v>46034.0</v>
      </c>
      <c r="B6" s="11">
        <v>70.9</v>
      </c>
      <c r="C6" s="11">
        <v>71.71</v>
      </c>
      <c r="D6" s="11">
        <v>70.04</v>
      </c>
      <c r="E6" s="11">
        <v>70.44</v>
      </c>
      <c r="F6" s="11">
        <v>70.44</v>
      </c>
      <c r="G6" s="12">
        <v>9.1138E7</v>
      </c>
      <c r="K6" s="13"/>
      <c r="L6" s="14"/>
      <c r="M6" s="14"/>
      <c r="N6" s="14"/>
      <c r="O6" s="14"/>
      <c r="P6" s="14"/>
      <c r="Q6" s="15"/>
    </row>
    <row r="7">
      <c r="A7" s="5">
        <v>46027.0</v>
      </c>
      <c r="B7" s="6">
        <v>68.92</v>
      </c>
      <c r="C7" s="6">
        <v>70.66</v>
      </c>
      <c r="D7" s="6">
        <v>67.27</v>
      </c>
      <c r="E7" s="6">
        <v>70.51</v>
      </c>
      <c r="F7" s="6">
        <v>70.51</v>
      </c>
      <c r="G7" s="7">
        <v>1.013055E8</v>
      </c>
      <c r="K7" s="16"/>
      <c r="L7" s="17"/>
      <c r="M7" s="17"/>
      <c r="N7" s="17"/>
      <c r="O7" s="17"/>
      <c r="P7" s="17"/>
      <c r="Q7" s="18"/>
    </row>
    <row r="8">
      <c r="A8" s="10">
        <v>46020.0</v>
      </c>
      <c r="B8" s="11">
        <v>70.0</v>
      </c>
      <c r="C8" s="11">
        <v>70.42</v>
      </c>
      <c r="D8" s="11">
        <v>68.98</v>
      </c>
      <c r="E8" s="11">
        <v>69.12</v>
      </c>
      <c r="F8" s="11">
        <v>69.12</v>
      </c>
      <c r="G8" s="12">
        <v>3.85769E7</v>
      </c>
      <c r="K8" s="13"/>
      <c r="L8" s="14"/>
      <c r="M8" s="14"/>
      <c r="N8" s="14"/>
      <c r="O8" s="14"/>
      <c r="P8" s="14"/>
      <c r="Q8" s="15"/>
    </row>
    <row r="9">
      <c r="A9" s="5">
        <v>46013.0</v>
      </c>
      <c r="B9" s="6">
        <v>69.93</v>
      </c>
      <c r="C9" s="6">
        <v>70.26</v>
      </c>
      <c r="D9" s="6">
        <v>69.66</v>
      </c>
      <c r="E9" s="6">
        <v>69.87</v>
      </c>
      <c r="F9" s="6">
        <v>69.87</v>
      </c>
      <c r="G9" s="7">
        <v>3.25262E7</v>
      </c>
      <c r="K9" s="16"/>
      <c r="L9" s="17"/>
      <c r="M9" s="17"/>
      <c r="N9" s="17"/>
      <c r="O9" s="17"/>
      <c r="P9" s="17"/>
      <c r="Q9" s="18"/>
    </row>
    <row r="10">
      <c r="A10" s="10">
        <v>46006.0</v>
      </c>
      <c r="B10" s="11">
        <v>70.43</v>
      </c>
      <c r="C10" s="11">
        <v>71.32</v>
      </c>
      <c r="D10" s="11">
        <v>70.03</v>
      </c>
      <c r="E10" s="11">
        <v>70.06</v>
      </c>
      <c r="F10" s="11">
        <v>70.06</v>
      </c>
      <c r="G10" s="12">
        <v>1.021387E8</v>
      </c>
      <c r="K10" s="13"/>
      <c r="L10" s="14"/>
      <c r="M10" s="14"/>
      <c r="N10" s="14"/>
      <c r="O10" s="14"/>
      <c r="P10" s="14"/>
      <c r="Q10" s="15"/>
    </row>
    <row r="11">
      <c r="A11" s="5">
        <v>45999.0</v>
      </c>
      <c r="B11" s="6">
        <v>69.84</v>
      </c>
      <c r="C11" s="6">
        <v>70.69</v>
      </c>
      <c r="D11" s="6">
        <v>68.79</v>
      </c>
      <c r="E11" s="6">
        <v>70.52</v>
      </c>
      <c r="F11" s="6">
        <v>70.52</v>
      </c>
      <c r="G11" s="7">
        <v>1.021438E8</v>
      </c>
      <c r="K11" s="16"/>
      <c r="L11" s="17"/>
      <c r="M11" s="17"/>
      <c r="N11" s="17"/>
      <c r="O11" s="17"/>
      <c r="P11" s="17"/>
      <c r="Q11" s="18"/>
    </row>
    <row r="12">
      <c r="A12" s="10">
        <v>45992.0</v>
      </c>
      <c r="B12" s="19" t="s">
        <v>8</v>
      </c>
      <c r="C12" s="20"/>
      <c r="D12" s="20"/>
      <c r="E12" s="20"/>
      <c r="F12" s="20"/>
      <c r="G12" s="21"/>
      <c r="K12" s="13"/>
      <c r="L12" s="14"/>
      <c r="M12" s="14"/>
      <c r="N12" s="14"/>
      <c r="O12" s="14"/>
      <c r="P12" s="14"/>
      <c r="Q12" s="15"/>
    </row>
    <row r="13">
      <c r="A13" s="5">
        <v>45992.0</v>
      </c>
      <c r="B13" s="6">
        <v>72.6</v>
      </c>
      <c r="C13" s="6">
        <v>72.91</v>
      </c>
      <c r="D13" s="6">
        <v>69.87</v>
      </c>
      <c r="E13" s="6">
        <v>70.0</v>
      </c>
      <c r="F13" s="6">
        <v>69.51</v>
      </c>
      <c r="G13" s="7">
        <v>8.29493E7</v>
      </c>
      <c r="K13" s="16"/>
      <c r="L13" s="22"/>
    </row>
    <row r="14">
      <c r="A14" s="10">
        <v>45985.0</v>
      </c>
      <c r="B14" s="11">
        <v>73.16</v>
      </c>
      <c r="C14" s="11">
        <v>73.23</v>
      </c>
      <c r="D14" s="11">
        <v>71.57</v>
      </c>
      <c r="E14" s="11">
        <v>73.12</v>
      </c>
      <c r="F14" s="11">
        <v>72.61</v>
      </c>
      <c r="G14" s="12">
        <v>7.64879E7</v>
      </c>
      <c r="K14" s="13"/>
      <c r="L14" s="14"/>
      <c r="M14" s="14"/>
      <c r="N14" s="14"/>
      <c r="O14" s="14"/>
      <c r="P14" s="14"/>
      <c r="Q14" s="15"/>
    </row>
    <row r="15">
      <c r="A15" s="5">
        <v>45978.0</v>
      </c>
      <c r="B15" s="6">
        <v>71.2</v>
      </c>
      <c r="C15" s="6">
        <v>73.19</v>
      </c>
      <c r="D15" s="6">
        <v>70.57</v>
      </c>
      <c r="E15" s="6">
        <v>72.95</v>
      </c>
      <c r="F15" s="6">
        <v>72.44</v>
      </c>
      <c r="G15" s="7">
        <v>8.19017E7</v>
      </c>
      <c r="K15" s="16"/>
      <c r="L15" s="17"/>
      <c r="M15" s="17"/>
      <c r="N15" s="17"/>
      <c r="O15" s="17"/>
      <c r="P15" s="17"/>
      <c r="Q15" s="18"/>
    </row>
    <row r="16">
      <c r="A16" s="10">
        <v>45971.0</v>
      </c>
      <c r="B16" s="11">
        <v>70.01</v>
      </c>
      <c r="C16" s="11">
        <v>71.89</v>
      </c>
      <c r="D16" s="11">
        <v>69.44</v>
      </c>
      <c r="E16" s="11">
        <v>71.16</v>
      </c>
      <c r="F16" s="11">
        <v>70.66</v>
      </c>
      <c r="G16" s="12">
        <v>7.22656E7</v>
      </c>
      <c r="K16" s="13"/>
      <c r="L16" s="14"/>
      <c r="M16" s="14"/>
      <c r="N16" s="14"/>
      <c r="O16" s="14"/>
      <c r="P16" s="14"/>
      <c r="Q16" s="15"/>
    </row>
    <row r="17">
      <c r="A17" s="5">
        <v>45964.0</v>
      </c>
      <c r="B17" s="6">
        <v>68.8</v>
      </c>
      <c r="C17" s="6">
        <v>70.87</v>
      </c>
      <c r="D17" s="6">
        <v>67.66</v>
      </c>
      <c r="E17" s="6">
        <v>70.55</v>
      </c>
      <c r="F17" s="6">
        <v>70.06</v>
      </c>
      <c r="G17" s="7">
        <v>8.22693E7</v>
      </c>
      <c r="K17" s="16"/>
      <c r="L17" s="17"/>
      <c r="M17" s="17"/>
      <c r="N17" s="17"/>
      <c r="O17" s="17"/>
      <c r="P17" s="17"/>
      <c r="Q17" s="18"/>
    </row>
    <row r="18">
      <c r="A18" s="10">
        <v>45957.0</v>
      </c>
      <c r="B18" s="11">
        <v>69.78</v>
      </c>
      <c r="C18" s="11">
        <v>70.9</v>
      </c>
      <c r="D18" s="11">
        <v>67.9</v>
      </c>
      <c r="E18" s="11">
        <v>68.9</v>
      </c>
      <c r="F18" s="11">
        <v>68.42</v>
      </c>
      <c r="G18" s="12">
        <v>7.78145E7</v>
      </c>
      <c r="K18" s="13"/>
      <c r="L18" s="14"/>
      <c r="M18" s="14"/>
      <c r="N18" s="14"/>
      <c r="O18" s="14"/>
      <c r="P18" s="14"/>
      <c r="Q18" s="15"/>
    </row>
    <row r="19">
      <c r="A19" s="5">
        <v>45950.0</v>
      </c>
      <c r="B19" s="6">
        <v>68.43</v>
      </c>
      <c r="C19" s="6">
        <v>71.62</v>
      </c>
      <c r="D19" s="6">
        <v>67.92</v>
      </c>
      <c r="E19" s="6">
        <v>69.71</v>
      </c>
      <c r="F19" s="6">
        <v>69.22</v>
      </c>
      <c r="G19" s="7">
        <v>9.94087E7</v>
      </c>
      <c r="K19" s="16"/>
      <c r="L19" s="17"/>
      <c r="M19" s="17"/>
      <c r="N19" s="17"/>
      <c r="O19" s="17"/>
      <c r="P19" s="17"/>
      <c r="Q19" s="18"/>
    </row>
    <row r="20">
      <c r="A20" s="10">
        <v>45943.0</v>
      </c>
      <c r="B20" s="11">
        <v>66.23</v>
      </c>
      <c r="C20" s="11">
        <v>68.5</v>
      </c>
      <c r="D20" s="11">
        <v>66.0</v>
      </c>
      <c r="E20" s="11">
        <v>68.44</v>
      </c>
      <c r="F20" s="11">
        <v>67.96</v>
      </c>
      <c r="G20" s="12">
        <v>7.03783E7</v>
      </c>
      <c r="K20" s="13"/>
      <c r="L20" s="14"/>
      <c r="M20" s="14"/>
      <c r="N20" s="14"/>
      <c r="O20" s="14"/>
      <c r="P20" s="14"/>
      <c r="Q20" s="15"/>
    </row>
    <row r="21">
      <c r="A21" s="5">
        <v>45936.0</v>
      </c>
      <c r="B21" s="6">
        <v>66.49</v>
      </c>
      <c r="C21" s="6">
        <v>67.4</v>
      </c>
      <c r="D21" s="6">
        <v>65.84</v>
      </c>
      <c r="E21" s="6">
        <v>67.04</v>
      </c>
      <c r="F21" s="6">
        <v>66.57</v>
      </c>
      <c r="G21" s="7">
        <v>7.09652E7</v>
      </c>
      <c r="K21" s="16"/>
      <c r="L21" s="17"/>
      <c r="M21" s="17"/>
      <c r="N21" s="17"/>
      <c r="O21" s="17"/>
      <c r="P21" s="17"/>
      <c r="Q21" s="18"/>
    </row>
    <row r="22">
      <c r="A22" s="10">
        <v>45929.0</v>
      </c>
      <c r="B22" s="11">
        <v>65.67</v>
      </c>
      <c r="C22" s="11">
        <v>66.99</v>
      </c>
      <c r="D22" s="11">
        <v>65.35</v>
      </c>
      <c r="E22" s="11">
        <v>66.65</v>
      </c>
      <c r="F22" s="11">
        <v>66.19</v>
      </c>
      <c r="G22" s="12">
        <v>7.01109E7</v>
      </c>
      <c r="K22" s="13"/>
      <c r="L22" s="14"/>
      <c r="M22" s="14"/>
      <c r="N22" s="14"/>
      <c r="O22" s="14"/>
      <c r="P22" s="14"/>
      <c r="Q22" s="15"/>
    </row>
    <row r="23">
      <c r="A23" s="5">
        <v>45922.0</v>
      </c>
      <c r="B23" s="6">
        <v>66.16</v>
      </c>
      <c r="C23" s="6">
        <v>66.92</v>
      </c>
      <c r="D23" s="6">
        <v>65.5</v>
      </c>
      <c r="E23" s="6">
        <v>65.67</v>
      </c>
      <c r="F23" s="6">
        <v>65.21</v>
      </c>
      <c r="G23" s="7">
        <v>7.53474E7</v>
      </c>
      <c r="K23" s="16"/>
      <c r="L23" s="17"/>
      <c r="M23" s="17"/>
      <c r="N23" s="17"/>
      <c r="O23" s="17"/>
      <c r="P23" s="17"/>
      <c r="Q23" s="18"/>
    </row>
    <row r="24">
      <c r="A24" s="10">
        <v>45915.0</v>
      </c>
      <c r="B24" s="19" t="s">
        <v>8</v>
      </c>
      <c r="C24" s="20"/>
      <c r="D24" s="20"/>
      <c r="E24" s="20"/>
      <c r="F24" s="20"/>
      <c r="G24" s="21"/>
      <c r="K24" s="13"/>
      <c r="L24" s="14"/>
      <c r="M24" s="14"/>
      <c r="N24" s="14"/>
      <c r="O24" s="14"/>
      <c r="P24" s="14"/>
      <c r="Q24" s="15"/>
    </row>
    <row r="25">
      <c r="A25" s="5">
        <v>45915.0</v>
      </c>
      <c r="B25" s="6">
        <v>66.68</v>
      </c>
      <c r="C25" s="6">
        <v>67.13</v>
      </c>
      <c r="D25" s="6">
        <v>66.05</v>
      </c>
      <c r="E25" s="6">
        <v>66.43</v>
      </c>
      <c r="F25" s="6">
        <v>65.46</v>
      </c>
      <c r="G25" s="7">
        <v>1.008301E8</v>
      </c>
      <c r="K25" s="16"/>
      <c r="L25" s="17"/>
      <c r="M25" s="17"/>
      <c r="N25" s="17"/>
      <c r="O25" s="17"/>
      <c r="P25" s="17"/>
      <c r="Q25" s="18"/>
    </row>
    <row r="26">
      <c r="A26" s="10">
        <v>45908.0</v>
      </c>
      <c r="B26" s="11">
        <v>67.86</v>
      </c>
      <c r="C26" s="11">
        <v>68.17</v>
      </c>
      <c r="D26" s="11">
        <v>66.94</v>
      </c>
      <c r="E26" s="11">
        <v>67.01</v>
      </c>
      <c r="F26" s="11">
        <v>66.04</v>
      </c>
      <c r="G26" s="12">
        <v>8.56753E7</v>
      </c>
      <c r="K26" s="13"/>
      <c r="L26" s="14"/>
      <c r="M26" s="14"/>
      <c r="N26" s="14"/>
      <c r="O26" s="14"/>
      <c r="P26" s="14"/>
      <c r="Q26" s="15"/>
    </row>
    <row r="27">
      <c r="A27" s="5">
        <v>45901.0</v>
      </c>
      <c r="B27" s="6">
        <v>68.96</v>
      </c>
      <c r="C27" s="6">
        <v>69.46</v>
      </c>
      <c r="D27" s="6">
        <v>67.37</v>
      </c>
      <c r="E27" s="6">
        <v>67.96</v>
      </c>
      <c r="F27" s="6">
        <v>66.97</v>
      </c>
      <c r="G27" s="7">
        <v>9.90656E7</v>
      </c>
      <c r="K27" s="16"/>
      <c r="L27" s="22"/>
    </row>
    <row r="28">
      <c r="A28" s="10">
        <v>45894.0</v>
      </c>
      <c r="B28" s="11">
        <v>70.11</v>
      </c>
      <c r="C28" s="11">
        <v>70.23</v>
      </c>
      <c r="D28" s="11">
        <v>68.28</v>
      </c>
      <c r="E28" s="11">
        <v>68.99</v>
      </c>
      <c r="F28" s="11">
        <v>67.99</v>
      </c>
      <c r="G28" s="12">
        <v>7.39725E7</v>
      </c>
      <c r="K28" s="13"/>
      <c r="L28" s="14"/>
      <c r="M28" s="14"/>
      <c r="N28" s="14"/>
      <c r="O28" s="14"/>
      <c r="P28" s="14"/>
      <c r="Q28" s="15"/>
    </row>
    <row r="29">
      <c r="A29" s="5">
        <v>45887.0</v>
      </c>
      <c r="B29" s="6">
        <v>69.98</v>
      </c>
      <c r="C29" s="6">
        <v>71.71</v>
      </c>
      <c r="D29" s="6">
        <v>69.05</v>
      </c>
      <c r="E29" s="6">
        <v>70.13</v>
      </c>
      <c r="F29" s="6">
        <v>69.11</v>
      </c>
      <c r="G29" s="7">
        <v>6.73279E7</v>
      </c>
      <c r="K29" s="16"/>
      <c r="L29" s="17"/>
      <c r="M29" s="17"/>
      <c r="N29" s="17"/>
      <c r="O29" s="17"/>
      <c r="P29" s="17"/>
      <c r="Q29" s="18"/>
    </row>
    <row r="30">
      <c r="A30" s="10">
        <v>45880.0</v>
      </c>
      <c r="B30" s="11">
        <v>70.3</v>
      </c>
      <c r="C30" s="11">
        <v>71.06</v>
      </c>
      <c r="D30" s="11">
        <v>69.39</v>
      </c>
      <c r="E30" s="11">
        <v>69.92</v>
      </c>
      <c r="F30" s="11">
        <v>68.9</v>
      </c>
      <c r="G30" s="12">
        <v>5.54305E7</v>
      </c>
      <c r="K30" s="13"/>
      <c r="L30" s="14"/>
      <c r="M30" s="14"/>
      <c r="N30" s="14"/>
      <c r="O30" s="14"/>
      <c r="P30" s="14"/>
      <c r="Q30" s="15"/>
    </row>
    <row r="31">
      <c r="A31" s="5">
        <v>45873.0</v>
      </c>
      <c r="B31" s="6">
        <v>68.72</v>
      </c>
      <c r="C31" s="6">
        <v>70.87</v>
      </c>
      <c r="D31" s="6">
        <v>68.31</v>
      </c>
      <c r="E31" s="6">
        <v>70.34</v>
      </c>
      <c r="F31" s="6">
        <v>69.32</v>
      </c>
      <c r="G31" s="7">
        <v>5.85014E7</v>
      </c>
      <c r="K31" s="16"/>
      <c r="L31" s="17"/>
      <c r="M31" s="17"/>
      <c r="N31" s="17"/>
      <c r="O31" s="17"/>
      <c r="P31" s="17"/>
      <c r="Q31" s="18"/>
    </row>
    <row r="32">
      <c r="A32" s="10">
        <v>45866.0</v>
      </c>
      <c r="B32" s="11">
        <v>68.74</v>
      </c>
      <c r="C32" s="11">
        <v>69.42</v>
      </c>
      <c r="D32" s="11">
        <v>67.74</v>
      </c>
      <c r="E32" s="11">
        <v>68.86</v>
      </c>
      <c r="F32" s="11">
        <v>67.86</v>
      </c>
      <c r="G32" s="12">
        <v>7.36413E7</v>
      </c>
      <c r="K32" s="13"/>
      <c r="L32" s="14"/>
      <c r="M32" s="14"/>
      <c r="N32" s="14"/>
      <c r="O32" s="14"/>
      <c r="P32" s="14"/>
      <c r="Q32" s="15"/>
    </row>
    <row r="33">
      <c r="A33" s="5">
        <v>45859.0</v>
      </c>
      <c r="B33" s="6">
        <v>70.19</v>
      </c>
      <c r="C33" s="6">
        <v>70.62</v>
      </c>
      <c r="D33" s="6">
        <v>68.6</v>
      </c>
      <c r="E33" s="6">
        <v>69.17</v>
      </c>
      <c r="F33" s="6">
        <v>68.16</v>
      </c>
      <c r="G33" s="7">
        <v>8.62678E7</v>
      </c>
      <c r="K33" s="16"/>
      <c r="L33" s="17"/>
      <c r="M33" s="17"/>
      <c r="N33" s="17"/>
      <c r="O33" s="17"/>
      <c r="P33" s="17"/>
      <c r="Q33" s="18"/>
    </row>
    <row r="34">
      <c r="A34" s="10">
        <v>45852.0</v>
      </c>
      <c r="B34" s="11">
        <v>69.8</v>
      </c>
      <c r="C34" s="11">
        <v>70.7</v>
      </c>
      <c r="D34" s="11">
        <v>68.79</v>
      </c>
      <c r="E34" s="11">
        <v>69.85</v>
      </c>
      <c r="F34" s="11">
        <v>68.83</v>
      </c>
      <c r="G34" s="12">
        <v>7.5194E7</v>
      </c>
      <c r="K34" s="13"/>
      <c r="L34" s="14"/>
      <c r="M34" s="14"/>
      <c r="N34" s="14"/>
      <c r="O34" s="14"/>
      <c r="P34" s="14"/>
      <c r="Q34" s="15"/>
    </row>
    <row r="35">
      <c r="A35" s="5">
        <v>45845.0</v>
      </c>
      <c r="B35" s="6">
        <v>71.37</v>
      </c>
      <c r="C35" s="6">
        <v>71.37</v>
      </c>
      <c r="D35" s="6">
        <v>68.97</v>
      </c>
      <c r="E35" s="6">
        <v>69.87</v>
      </c>
      <c r="F35" s="6">
        <v>68.85</v>
      </c>
      <c r="G35" s="7">
        <v>9.53294E7</v>
      </c>
      <c r="K35" s="16"/>
      <c r="L35" s="17"/>
      <c r="M35" s="17"/>
      <c r="N35" s="17"/>
      <c r="O35" s="17"/>
      <c r="P35" s="17"/>
      <c r="Q35" s="18"/>
    </row>
    <row r="36">
      <c r="A36" s="10">
        <v>45838.0</v>
      </c>
      <c r="B36" s="11">
        <v>70.13</v>
      </c>
      <c r="C36" s="11">
        <v>72.45</v>
      </c>
      <c r="D36" s="11">
        <v>70.09</v>
      </c>
      <c r="E36" s="11">
        <v>71.35</v>
      </c>
      <c r="F36" s="11">
        <v>70.31</v>
      </c>
      <c r="G36" s="12">
        <v>5.9649E7</v>
      </c>
      <c r="K36" s="13"/>
      <c r="L36" s="14"/>
      <c r="M36" s="14"/>
      <c r="N36" s="14"/>
      <c r="O36" s="14"/>
      <c r="P36" s="14"/>
      <c r="Q36" s="15"/>
    </row>
    <row r="37">
      <c r="A37" s="5">
        <v>45831.0</v>
      </c>
      <c r="B37" s="6">
        <v>69.14</v>
      </c>
      <c r="C37" s="6">
        <v>70.56</v>
      </c>
      <c r="D37" s="6">
        <v>68.97</v>
      </c>
      <c r="E37" s="6">
        <v>70.33</v>
      </c>
      <c r="F37" s="6">
        <v>69.31</v>
      </c>
      <c r="G37" s="7">
        <v>8.75041E7</v>
      </c>
      <c r="K37" s="16"/>
      <c r="L37" s="17"/>
      <c r="M37" s="17"/>
      <c r="N37" s="17"/>
      <c r="O37" s="17"/>
      <c r="P37" s="17"/>
      <c r="Q37" s="18"/>
    </row>
    <row r="38">
      <c r="A38" s="10">
        <v>45824.0</v>
      </c>
      <c r="B38" s="11">
        <v>71.2</v>
      </c>
      <c r="C38" s="11">
        <v>71.62</v>
      </c>
      <c r="D38" s="11">
        <v>68.78</v>
      </c>
      <c r="E38" s="11">
        <v>68.84</v>
      </c>
      <c r="F38" s="11">
        <v>67.84</v>
      </c>
      <c r="G38" s="12">
        <v>8.75699E7</v>
      </c>
      <c r="K38" s="13"/>
      <c r="L38" s="14"/>
      <c r="M38" s="14"/>
      <c r="N38" s="14"/>
      <c r="O38" s="14"/>
      <c r="P38" s="14"/>
      <c r="Q38" s="15"/>
    </row>
    <row r="39">
      <c r="A39" s="5">
        <v>45821.0</v>
      </c>
      <c r="B39" s="23" t="s">
        <v>8</v>
      </c>
      <c r="C39" s="20"/>
      <c r="D39" s="20"/>
      <c r="E39" s="20"/>
      <c r="F39" s="20"/>
      <c r="G39" s="21"/>
      <c r="K39" s="16"/>
      <c r="L39" s="17"/>
      <c r="M39" s="17"/>
      <c r="N39" s="17"/>
      <c r="O39" s="17"/>
      <c r="P39" s="17"/>
      <c r="Q39" s="18"/>
    </row>
    <row r="40">
      <c r="A40" s="10">
        <v>45817.0</v>
      </c>
      <c r="B40" s="11">
        <v>71.35</v>
      </c>
      <c r="C40" s="11">
        <v>72.69</v>
      </c>
      <c r="D40" s="11">
        <v>70.73</v>
      </c>
      <c r="E40" s="11">
        <v>71.02</v>
      </c>
      <c r="F40" s="11">
        <v>69.49</v>
      </c>
      <c r="G40" s="12">
        <v>6.75389E7</v>
      </c>
      <c r="K40" s="13"/>
      <c r="L40" s="14"/>
      <c r="M40" s="14"/>
      <c r="N40" s="14"/>
      <c r="O40" s="14"/>
      <c r="P40" s="14"/>
      <c r="Q40" s="15"/>
    </row>
    <row r="41">
      <c r="A41" s="5">
        <v>45810.0</v>
      </c>
      <c r="B41" s="6">
        <v>72.03</v>
      </c>
      <c r="C41" s="6">
        <v>72.04</v>
      </c>
      <c r="D41" s="6">
        <v>70.47</v>
      </c>
      <c r="E41" s="6">
        <v>71.35</v>
      </c>
      <c r="F41" s="6">
        <v>69.82</v>
      </c>
      <c r="G41" s="7">
        <v>6.69638E7</v>
      </c>
      <c r="K41" s="16"/>
      <c r="L41" s="22"/>
    </row>
    <row r="42">
      <c r="A42" s="10">
        <v>45803.0</v>
      </c>
      <c r="B42" s="11">
        <v>71.74</v>
      </c>
      <c r="C42" s="11">
        <v>72.47</v>
      </c>
      <c r="D42" s="11">
        <v>70.46</v>
      </c>
      <c r="E42" s="11">
        <v>72.1</v>
      </c>
      <c r="F42" s="11">
        <v>70.55</v>
      </c>
      <c r="G42" s="12">
        <v>5.76876E7</v>
      </c>
      <c r="K42" s="13"/>
      <c r="L42" s="14"/>
      <c r="M42" s="14"/>
      <c r="N42" s="14"/>
      <c r="O42" s="14"/>
      <c r="P42" s="14"/>
      <c r="Q42" s="15"/>
    </row>
    <row r="43">
      <c r="A43" s="5">
        <v>45796.0</v>
      </c>
      <c r="B43" s="6">
        <v>72.03</v>
      </c>
      <c r="C43" s="6">
        <v>72.17</v>
      </c>
      <c r="D43" s="6">
        <v>70.69</v>
      </c>
      <c r="E43" s="6">
        <v>71.77</v>
      </c>
      <c r="F43" s="6">
        <v>70.23</v>
      </c>
      <c r="G43" s="7">
        <v>6.14389E7</v>
      </c>
      <c r="K43" s="24"/>
      <c r="L43" s="17"/>
      <c r="M43" s="17"/>
      <c r="N43" s="17"/>
      <c r="O43" s="17"/>
      <c r="P43" s="17"/>
      <c r="Q43" s="18"/>
    </row>
    <row r="44">
      <c r="A44" s="10">
        <v>45789.0</v>
      </c>
      <c r="B44" s="11">
        <v>70.15</v>
      </c>
      <c r="C44" s="11">
        <v>72.26</v>
      </c>
      <c r="D44" s="11">
        <v>68.58</v>
      </c>
      <c r="E44" s="11">
        <v>72.0</v>
      </c>
      <c r="F44" s="11">
        <v>70.45</v>
      </c>
      <c r="G44" s="12">
        <v>9.04732E7</v>
      </c>
      <c r="K44" s="25"/>
      <c r="L44" s="14"/>
      <c r="M44" s="14"/>
      <c r="N44" s="14"/>
      <c r="O44" s="14"/>
      <c r="P44" s="14"/>
      <c r="Q44" s="15"/>
    </row>
    <row r="45">
      <c r="A45" s="5">
        <v>45782.0</v>
      </c>
      <c r="B45" s="6">
        <v>71.67</v>
      </c>
      <c r="C45" s="6">
        <v>72.69</v>
      </c>
      <c r="D45" s="6">
        <v>70.46</v>
      </c>
      <c r="E45" s="6">
        <v>70.52</v>
      </c>
      <c r="F45" s="6">
        <v>69.0</v>
      </c>
      <c r="G45" s="7">
        <v>6.52564E7</v>
      </c>
      <c r="K45" s="24"/>
      <c r="L45" s="17"/>
      <c r="M45" s="17"/>
      <c r="N45" s="17"/>
      <c r="O45" s="17"/>
      <c r="P45" s="17"/>
      <c r="Q45" s="18"/>
    </row>
    <row r="46">
      <c r="A46" s="10">
        <v>45775.0</v>
      </c>
      <c r="B46" s="11">
        <v>72.08</v>
      </c>
      <c r="C46" s="11">
        <v>73.48</v>
      </c>
      <c r="D46" s="11">
        <v>70.28</v>
      </c>
      <c r="E46" s="11">
        <v>71.65</v>
      </c>
      <c r="F46" s="11">
        <v>70.11</v>
      </c>
      <c r="G46" s="12">
        <v>8.39801E7</v>
      </c>
      <c r="K46" s="25"/>
      <c r="L46" s="14"/>
      <c r="M46" s="14"/>
      <c r="N46" s="14"/>
      <c r="O46" s="14"/>
      <c r="P46" s="14"/>
      <c r="Q46" s="15"/>
    </row>
    <row r="47">
      <c r="A47" s="5">
        <v>45768.0</v>
      </c>
      <c r="B47" s="6">
        <v>73.38</v>
      </c>
      <c r="C47" s="6">
        <v>74.38</v>
      </c>
      <c r="D47" s="6">
        <v>71.13</v>
      </c>
      <c r="E47" s="6">
        <v>71.91</v>
      </c>
      <c r="F47" s="6">
        <v>70.36</v>
      </c>
      <c r="G47" s="7">
        <v>8.12145E7</v>
      </c>
      <c r="K47" s="16"/>
      <c r="L47" s="17"/>
      <c r="M47" s="17"/>
      <c r="N47" s="17"/>
      <c r="O47" s="17"/>
      <c r="P47" s="17"/>
      <c r="Q47" s="18"/>
    </row>
    <row r="48">
      <c r="A48" s="10">
        <v>45761.0</v>
      </c>
      <c r="B48" s="11">
        <v>71.3</v>
      </c>
      <c r="C48" s="11">
        <v>73.43</v>
      </c>
      <c r="D48" s="11">
        <v>70.93</v>
      </c>
      <c r="E48" s="11">
        <v>73.0</v>
      </c>
      <c r="F48" s="11">
        <v>71.43</v>
      </c>
      <c r="G48" s="12">
        <v>6.49264E7</v>
      </c>
      <c r="K48" s="13"/>
      <c r="L48" s="14"/>
      <c r="M48" s="14"/>
      <c r="N48" s="14"/>
      <c r="O48" s="14"/>
      <c r="P48" s="14"/>
      <c r="Q48" s="15"/>
    </row>
    <row r="49">
      <c r="A49" s="5">
        <v>45754.0</v>
      </c>
      <c r="B49" s="6">
        <v>66.23</v>
      </c>
      <c r="C49" s="6">
        <v>71.85</v>
      </c>
      <c r="D49" s="6">
        <v>66.05</v>
      </c>
      <c r="E49" s="6">
        <v>71.43</v>
      </c>
      <c r="F49" s="6">
        <v>69.89</v>
      </c>
      <c r="G49" s="7">
        <v>1.273899E8</v>
      </c>
      <c r="K49" s="16"/>
      <c r="L49" s="17"/>
      <c r="M49" s="17"/>
      <c r="N49" s="17"/>
      <c r="O49" s="17"/>
      <c r="P49" s="17"/>
      <c r="Q49" s="18"/>
    </row>
    <row r="50">
      <c r="A50" s="10">
        <v>45747.0</v>
      </c>
      <c r="B50" s="11">
        <v>70.73</v>
      </c>
      <c r="C50" s="11">
        <v>73.95</v>
      </c>
      <c r="D50" s="11">
        <v>69.79</v>
      </c>
      <c r="E50" s="11">
        <v>69.93</v>
      </c>
      <c r="F50" s="11">
        <v>68.43</v>
      </c>
      <c r="G50" s="12">
        <v>1.054094E8</v>
      </c>
      <c r="K50" s="13"/>
      <c r="L50" s="14"/>
      <c r="M50" s="14"/>
      <c r="N50" s="14"/>
      <c r="O50" s="14"/>
      <c r="P50" s="14"/>
      <c r="Q50" s="15"/>
    </row>
    <row r="51">
      <c r="A51" s="5">
        <v>45740.0</v>
      </c>
      <c r="B51" s="6">
        <v>68.8</v>
      </c>
      <c r="C51" s="6">
        <v>71.32</v>
      </c>
      <c r="D51" s="6">
        <v>68.33</v>
      </c>
      <c r="E51" s="6">
        <v>70.37</v>
      </c>
      <c r="F51" s="6">
        <v>68.86</v>
      </c>
      <c r="G51" s="7">
        <v>6.86438E7</v>
      </c>
      <c r="K51" s="16"/>
      <c r="L51" s="17"/>
      <c r="M51" s="17"/>
      <c r="N51" s="17"/>
      <c r="O51" s="17"/>
      <c r="P51" s="17"/>
      <c r="Q51" s="18"/>
    </row>
    <row r="52">
      <c r="A52" s="10">
        <v>45733.0</v>
      </c>
      <c r="B52" s="11">
        <v>69.24</v>
      </c>
      <c r="C52" s="11">
        <v>70.19</v>
      </c>
      <c r="D52" s="11">
        <v>68.18</v>
      </c>
      <c r="E52" s="11">
        <v>68.67</v>
      </c>
      <c r="F52" s="11">
        <v>67.19</v>
      </c>
      <c r="G52" s="12">
        <v>1.068472E8</v>
      </c>
      <c r="K52" s="13"/>
      <c r="L52" s="14"/>
      <c r="M52" s="14"/>
      <c r="N52" s="14"/>
      <c r="O52" s="14"/>
      <c r="P52" s="14"/>
      <c r="Q52" s="15"/>
    </row>
    <row r="53">
      <c r="A53" s="5">
        <v>45730.0</v>
      </c>
      <c r="B53" s="23" t="s">
        <v>8</v>
      </c>
      <c r="C53" s="20"/>
      <c r="D53" s="20"/>
      <c r="E53" s="20"/>
      <c r="F53" s="20"/>
      <c r="G53" s="21"/>
      <c r="K53" s="16"/>
      <c r="L53" s="17"/>
      <c r="M53" s="17"/>
      <c r="N53" s="17"/>
      <c r="O53" s="17"/>
      <c r="P53" s="17"/>
      <c r="Q53" s="18"/>
    </row>
    <row r="54">
      <c r="A54" s="10">
        <v>45726.0</v>
      </c>
      <c r="B54" s="11">
        <v>71.96</v>
      </c>
      <c r="C54" s="11">
        <v>73.22</v>
      </c>
      <c r="D54" s="11">
        <v>68.38</v>
      </c>
      <c r="E54" s="11">
        <v>69.16</v>
      </c>
      <c r="F54" s="11">
        <v>67.18</v>
      </c>
      <c r="G54" s="12">
        <v>1.022026E8</v>
      </c>
      <c r="K54" s="13"/>
      <c r="L54" s="14"/>
      <c r="M54" s="14"/>
      <c r="N54" s="14"/>
      <c r="O54" s="14"/>
      <c r="P54" s="14"/>
      <c r="Q54" s="15"/>
    </row>
    <row r="55">
      <c r="A55" s="5">
        <v>45719.0</v>
      </c>
      <c r="B55" s="6">
        <v>70.24</v>
      </c>
      <c r="C55" s="6">
        <v>72.65</v>
      </c>
      <c r="D55" s="6">
        <v>69.45</v>
      </c>
      <c r="E55" s="6">
        <v>71.43</v>
      </c>
      <c r="F55" s="6">
        <v>69.38</v>
      </c>
      <c r="G55" s="7">
        <v>1.211504E8</v>
      </c>
      <c r="K55" s="16"/>
      <c r="L55" s="22"/>
    </row>
    <row r="56">
      <c r="A56" s="10">
        <v>45712.0</v>
      </c>
      <c r="B56" s="11">
        <v>70.84</v>
      </c>
      <c r="C56" s="11">
        <v>71.77</v>
      </c>
      <c r="D56" s="11">
        <v>70.33</v>
      </c>
      <c r="E56" s="11">
        <v>71.21</v>
      </c>
      <c r="F56" s="11">
        <v>69.17</v>
      </c>
      <c r="G56" s="12">
        <v>9.64621E7</v>
      </c>
      <c r="K56" s="13"/>
      <c r="L56" s="14"/>
      <c r="M56" s="14"/>
      <c r="N56" s="14"/>
      <c r="O56" s="14"/>
      <c r="P56" s="14"/>
      <c r="Q56" s="15"/>
    </row>
    <row r="57">
      <c r="A57" s="5">
        <v>45705.0</v>
      </c>
      <c r="B57" s="6">
        <v>68.55</v>
      </c>
      <c r="C57" s="6">
        <v>71.6</v>
      </c>
      <c r="D57" s="6">
        <v>68.42</v>
      </c>
      <c r="E57" s="6">
        <v>71.35</v>
      </c>
      <c r="F57" s="6">
        <v>69.31</v>
      </c>
      <c r="G57" s="7">
        <v>6.66617E7</v>
      </c>
      <c r="K57" s="16"/>
      <c r="L57" s="17"/>
      <c r="M57" s="17"/>
      <c r="N57" s="17"/>
      <c r="O57" s="17"/>
      <c r="P57" s="17"/>
      <c r="Q57" s="18"/>
    </row>
    <row r="58">
      <c r="A58" s="10">
        <v>45698.0</v>
      </c>
      <c r="B58" s="11">
        <v>64.1</v>
      </c>
      <c r="C58" s="11">
        <v>70.03</v>
      </c>
      <c r="D58" s="11">
        <v>63.66</v>
      </c>
      <c r="E58" s="11">
        <v>68.87</v>
      </c>
      <c r="F58" s="11">
        <v>66.9</v>
      </c>
      <c r="G58" s="12">
        <v>1.179494E8</v>
      </c>
      <c r="K58" s="13"/>
      <c r="L58" s="14"/>
      <c r="M58" s="14"/>
      <c r="N58" s="14"/>
      <c r="O58" s="14"/>
      <c r="P58" s="14"/>
      <c r="Q58" s="15"/>
    </row>
    <row r="59">
      <c r="A59" s="26">
        <v>45691.0</v>
      </c>
      <c r="B59" s="27">
        <v>63.18</v>
      </c>
      <c r="C59" s="27">
        <v>63.92</v>
      </c>
      <c r="D59" s="27">
        <v>62.35</v>
      </c>
      <c r="E59" s="27">
        <v>63.84</v>
      </c>
      <c r="F59" s="27">
        <v>62.01</v>
      </c>
      <c r="G59" s="28">
        <v>6.50408E7</v>
      </c>
      <c r="K59" s="16"/>
      <c r="L59" s="17"/>
      <c r="M59" s="17"/>
      <c r="N59" s="17"/>
      <c r="O59" s="17"/>
      <c r="P59" s="17"/>
      <c r="Q59" s="18"/>
    </row>
    <row r="60">
      <c r="K60" s="29"/>
      <c r="L60" s="30"/>
      <c r="M60" s="30"/>
      <c r="N60" s="30"/>
      <c r="O60" s="30"/>
      <c r="P60" s="30"/>
      <c r="Q60" s="31"/>
    </row>
    <row r="61">
      <c r="C61" s="32"/>
    </row>
    <row r="62">
      <c r="C62" s="32"/>
    </row>
    <row r="63">
      <c r="C63" s="32"/>
    </row>
    <row r="64">
      <c r="C64" s="32"/>
    </row>
    <row r="65">
      <c r="C65" s="32"/>
    </row>
    <row r="66">
      <c r="C66" s="32"/>
    </row>
    <row r="67">
      <c r="C67" s="32"/>
    </row>
    <row r="68">
      <c r="C68" s="32"/>
    </row>
    <row r="69">
      <c r="C69" s="32"/>
    </row>
    <row r="70">
      <c r="C70" s="32"/>
    </row>
    <row r="71">
      <c r="C71" s="32"/>
    </row>
    <row r="72">
      <c r="C72" s="32"/>
    </row>
    <row r="73">
      <c r="C73" s="32"/>
    </row>
    <row r="74">
      <c r="C74" s="32"/>
    </row>
    <row r="75">
      <c r="C75" s="32"/>
    </row>
    <row r="76">
      <c r="C76" s="32"/>
    </row>
    <row r="77">
      <c r="C77" s="32"/>
    </row>
    <row r="78">
      <c r="C78" s="32"/>
    </row>
    <row r="79">
      <c r="C79" s="32"/>
    </row>
    <row r="80">
      <c r="C80" s="32"/>
    </row>
    <row r="81">
      <c r="C81" s="32"/>
    </row>
    <row r="82">
      <c r="C82" s="32"/>
    </row>
    <row r="83">
      <c r="C83" s="32"/>
    </row>
    <row r="84">
      <c r="C84" s="32"/>
    </row>
    <row r="85">
      <c r="C85" s="32"/>
    </row>
    <row r="86">
      <c r="C86" s="32"/>
    </row>
    <row r="87">
      <c r="C87" s="32"/>
    </row>
    <row r="88">
      <c r="C88" s="32"/>
    </row>
    <row r="89">
      <c r="C89" s="32"/>
    </row>
    <row r="90">
      <c r="C90" s="32"/>
    </row>
    <row r="91">
      <c r="C91" s="32"/>
    </row>
    <row r="92">
      <c r="C92" s="32"/>
    </row>
    <row r="93">
      <c r="C93" s="32"/>
    </row>
    <row r="94">
      <c r="C94" s="32"/>
    </row>
    <row r="95">
      <c r="C95" s="32"/>
    </row>
    <row r="96">
      <c r="C96" s="32"/>
    </row>
    <row r="97">
      <c r="C97" s="32"/>
    </row>
    <row r="98">
      <c r="C98" s="32"/>
    </row>
    <row r="99">
      <c r="C99" s="32"/>
    </row>
    <row r="100">
      <c r="C100" s="32"/>
    </row>
    <row r="101">
      <c r="C101" s="32"/>
    </row>
    <row r="102">
      <c r="C102" s="32"/>
    </row>
    <row r="103">
      <c r="C103" s="32"/>
    </row>
    <row r="104">
      <c r="C104" s="32"/>
    </row>
    <row r="105">
      <c r="C105" s="32"/>
    </row>
    <row r="106">
      <c r="C106" s="32"/>
    </row>
    <row r="107">
      <c r="C107" s="32"/>
    </row>
    <row r="108">
      <c r="C108" s="32"/>
    </row>
    <row r="109">
      <c r="C109" s="32"/>
    </row>
    <row r="110">
      <c r="C110" s="32"/>
    </row>
    <row r="111">
      <c r="C111" s="32"/>
    </row>
    <row r="112">
      <c r="C112" s="32"/>
    </row>
    <row r="113">
      <c r="C113" s="32"/>
    </row>
    <row r="114">
      <c r="C114" s="32"/>
    </row>
    <row r="115">
      <c r="C115" s="32"/>
    </row>
    <row r="116">
      <c r="C116" s="32"/>
    </row>
    <row r="117">
      <c r="C117" s="32"/>
    </row>
    <row r="118">
      <c r="C118" s="32"/>
    </row>
    <row r="119">
      <c r="C119" s="32"/>
    </row>
    <row r="120">
      <c r="C120" s="32"/>
    </row>
    <row r="121">
      <c r="C121" s="32"/>
    </row>
    <row r="122">
      <c r="C122" s="32"/>
    </row>
    <row r="123">
      <c r="C123" s="32"/>
    </row>
    <row r="124">
      <c r="C124" s="32"/>
    </row>
    <row r="125">
      <c r="C125" s="32"/>
    </row>
    <row r="126">
      <c r="C126" s="32"/>
    </row>
    <row r="127">
      <c r="C127" s="32"/>
    </row>
    <row r="128">
      <c r="C128" s="32"/>
    </row>
    <row r="129">
      <c r="C129" s="32"/>
    </row>
    <row r="130">
      <c r="C130" s="32"/>
    </row>
    <row r="131">
      <c r="C131" s="32"/>
    </row>
    <row r="132">
      <c r="C132" s="32"/>
    </row>
    <row r="133">
      <c r="C133" s="32"/>
    </row>
    <row r="134">
      <c r="C134" s="32"/>
    </row>
    <row r="135">
      <c r="C135" s="32"/>
    </row>
    <row r="136">
      <c r="C136" s="32"/>
    </row>
    <row r="137">
      <c r="C137" s="32"/>
    </row>
    <row r="138">
      <c r="C138" s="32"/>
    </row>
    <row r="139">
      <c r="C139" s="32"/>
    </row>
    <row r="140">
      <c r="C140" s="32"/>
    </row>
    <row r="141">
      <c r="C141" s="32"/>
    </row>
    <row r="142">
      <c r="C142" s="32"/>
    </row>
    <row r="143">
      <c r="C143" s="32"/>
    </row>
    <row r="144">
      <c r="C144" s="32"/>
    </row>
    <row r="145">
      <c r="C145" s="32"/>
    </row>
    <row r="146">
      <c r="C146" s="32"/>
    </row>
    <row r="147">
      <c r="C147" s="32"/>
    </row>
    <row r="148">
      <c r="C148" s="32"/>
    </row>
    <row r="149">
      <c r="C149" s="32"/>
    </row>
    <row r="150">
      <c r="C150" s="32"/>
    </row>
    <row r="151">
      <c r="C151" s="32"/>
    </row>
    <row r="152">
      <c r="C152" s="32"/>
    </row>
    <row r="153">
      <c r="C153" s="32"/>
    </row>
    <row r="154">
      <c r="C154" s="32"/>
    </row>
    <row r="155">
      <c r="C155" s="32"/>
    </row>
    <row r="156">
      <c r="C156" s="32"/>
    </row>
    <row r="157">
      <c r="C157" s="32"/>
    </row>
    <row r="158">
      <c r="C158" s="32"/>
    </row>
    <row r="159">
      <c r="C159" s="32"/>
    </row>
    <row r="160">
      <c r="C160" s="32"/>
    </row>
    <row r="161">
      <c r="C161" s="32"/>
    </row>
    <row r="162">
      <c r="C162" s="32"/>
    </row>
    <row r="163">
      <c r="C163" s="32"/>
    </row>
    <row r="164">
      <c r="C164" s="32"/>
    </row>
    <row r="165">
      <c r="C165" s="32"/>
    </row>
    <row r="166">
      <c r="C166" s="32"/>
    </row>
    <row r="167">
      <c r="C167" s="32"/>
    </row>
    <row r="168">
      <c r="C168" s="32"/>
    </row>
    <row r="169">
      <c r="C169" s="32"/>
    </row>
    <row r="170">
      <c r="C170" s="32"/>
    </row>
    <row r="171">
      <c r="C171" s="32"/>
    </row>
    <row r="172">
      <c r="C172" s="32"/>
    </row>
    <row r="173">
      <c r="C173" s="32"/>
    </row>
    <row r="174">
      <c r="C174" s="32"/>
    </row>
    <row r="175">
      <c r="C175" s="32"/>
    </row>
    <row r="176">
      <c r="C176" s="32"/>
    </row>
    <row r="177">
      <c r="C177" s="32"/>
    </row>
    <row r="178">
      <c r="C178" s="32"/>
    </row>
    <row r="179">
      <c r="C179" s="32"/>
    </row>
    <row r="180">
      <c r="C180" s="32"/>
    </row>
    <row r="181">
      <c r="C181" s="32"/>
    </row>
    <row r="182">
      <c r="C182" s="32"/>
    </row>
    <row r="183">
      <c r="C183" s="32"/>
    </row>
    <row r="184">
      <c r="C184" s="32"/>
    </row>
    <row r="185">
      <c r="C185" s="32"/>
    </row>
    <row r="186">
      <c r="C186" s="32"/>
    </row>
    <row r="187">
      <c r="C187" s="32"/>
    </row>
    <row r="188">
      <c r="C188" s="32"/>
    </row>
    <row r="189">
      <c r="C189" s="32"/>
    </row>
    <row r="190">
      <c r="C190" s="32"/>
    </row>
    <row r="191">
      <c r="C191" s="32"/>
    </row>
    <row r="192">
      <c r="C192" s="32"/>
    </row>
    <row r="193">
      <c r="C193" s="32"/>
    </row>
    <row r="194">
      <c r="C194" s="32"/>
    </row>
    <row r="195">
      <c r="C195" s="32"/>
    </row>
    <row r="196">
      <c r="C196" s="32"/>
    </row>
    <row r="197">
      <c r="C197" s="32"/>
    </row>
    <row r="198">
      <c r="C198" s="32"/>
    </row>
    <row r="199">
      <c r="C199" s="32"/>
    </row>
    <row r="200">
      <c r="C200" s="32"/>
    </row>
    <row r="201">
      <c r="C201" s="32"/>
    </row>
    <row r="202">
      <c r="C202" s="32"/>
    </row>
    <row r="203">
      <c r="C203" s="32"/>
    </row>
    <row r="204">
      <c r="C204" s="32"/>
    </row>
    <row r="205">
      <c r="C205" s="32"/>
    </row>
    <row r="206">
      <c r="C206" s="32"/>
    </row>
    <row r="207">
      <c r="C207" s="32"/>
    </row>
    <row r="208">
      <c r="C208" s="32"/>
    </row>
    <row r="209">
      <c r="C209" s="32"/>
    </row>
    <row r="210">
      <c r="C210" s="32"/>
    </row>
    <row r="211">
      <c r="C211" s="32"/>
    </row>
    <row r="212">
      <c r="C212" s="32"/>
    </row>
    <row r="213">
      <c r="C213" s="32"/>
    </row>
    <row r="214">
      <c r="C214" s="32"/>
    </row>
    <row r="215">
      <c r="C215" s="32"/>
    </row>
    <row r="216">
      <c r="C216" s="32"/>
    </row>
    <row r="217">
      <c r="C217" s="32"/>
    </row>
    <row r="218">
      <c r="C218" s="32"/>
    </row>
    <row r="219">
      <c r="C219" s="32"/>
    </row>
    <row r="220">
      <c r="C220" s="32"/>
    </row>
    <row r="221">
      <c r="C221" s="32"/>
    </row>
    <row r="222">
      <c r="C222" s="32"/>
    </row>
    <row r="223">
      <c r="C223" s="32"/>
    </row>
    <row r="224">
      <c r="C224" s="32"/>
    </row>
    <row r="225">
      <c r="C225" s="32"/>
    </row>
    <row r="226">
      <c r="C226" s="32"/>
    </row>
    <row r="227">
      <c r="C227" s="32"/>
    </row>
    <row r="228">
      <c r="C228" s="32"/>
    </row>
    <row r="229">
      <c r="C229" s="32"/>
    </row>
    <row r="230">
      <c r="C230" s="32"/>
    </row>
    <row r="231">
      <c r="C231" s="32"/>
    </row>
    <row r="232">
      <c r="C232" s="32"/>
    </row>
    <row r="233">
      <c r="C233" s="32"/>
    </row>
    <row r="234">
      <c r="C234" s="32"/>
    </row>
    <row r="235">
      <c r="C235" s="32"/>
    </row>
    <row r="236">
      <c r="C236" s="32"/>
    </row>
    <row r="237">
      <c r="C237" s="32"/>
    </row>
    <row r="238">
      <c r="C238" s="32"/>
    </row>
    <row r="239">
      <c r="C239" s="32"/>
    </row>
    <row r="240">
      <c r="C240" s="32"/>
    </row>
    <row r="241">
      <c r="C241" s="32"/>
    </row>
    <row r="242">
      <c r="C242" s="32"/>
    </row>
    <row r="243">
      <c r="C243" s="32"/>
    </row>
    <row r="244">
      <c r="C244" s="32"/>
    </row>
    <row r="245">
      <c r="C245" s="32"/>
    </row>
    <row r="246">
      <c r="C246" s="32"/>
    </row>
    <row r="247">
      <c r="C247" s="32"/>
    </row>
    <row r="248">
      <c r="C248" s="32"/>
    </row>
    <row r="249">
      <c r="C249" s="32"/>
    </row>
    <row r="250">
      <c r="C250" s="32"/>
    </row>
    <row r="251">
      <c r="C251" s="32"/>
    </row>
    <row r="252">
      <c r="C252" s="32"/>
    </row>
    <row r="253">
      <c r="C253" s="32"/>
    </row>
    <row r="254">
      <c r="C254" s="32"/>
    </row>
    <row r="255">
      <c r="C255" s="32"/>
    </row>
    <row r="256">
      <c r="C256" s="32"/>
    </row>
    <row r="257">
      <c r="C257" s="32"/>
    </row>
    <row r="258">
      <c r="C258" s="32"/>
    </row>
    <row r="259">
      <c r="C259" s="32"/>
    </row>
    <row r="260">
      <c r="C260" s="32"/>
    </row>
    <row r="261">
      <c r="C261" s="32"/>
    </row>
    <row r="262">
      <c r="C262" s="32"/>
    </row>
    <row r="263">
      <c r="C263" s="32"/>
    </row>
    <row r="264">
      <c r="C264" s="32"/>
    </row>
    <row r="265">
      <c r="C265" s="32"/>
    </row>
    <row r="266">
      <c r="C266" s="32"/>
    </row>
    <row r="267">
      <c r="C267" s="32"/>
    </row>
    <row r="268">
      <c r="C268" s="32"/>
    </row>
    <row r="269">
      <c r="C269" s="32"/>
    </row>
    <row r="270">
      <c r="C270" s="32"/>
    </row>
    <row r="271">
      <c r="C271" s="32"/>
    </row>
    <row r="272">
      <c r="C272" s="32"/>
    </row>
    <row r="273">
      <c r="C273" s="32"/>
    </row>
    <row r="274">
      <c r="C274" s="32"/>
    </row>
    <row r="275">
      <c r="C275" s="32"/>
    </row>
    <row r="276">
      <c r="C276" s="32"/>
    </row>
    <row r="277">
      <c r="C277" s="32"/>
    </row>
    <row r="278">
      <c r="C278" s="32"/>
    </row>
    <row r="279">
      <c r="C279" s="32"/>
    </row>
    <row r="280">
      <c r="C280" s="32"/>
    </row>
    <row r="281">
      <c r="C281" s="32"/>
    </row>
    <row r="282">
      <c r="C282" s="32"/>
    </row>
    <row r="283">
      <c r="C283" s="32"/>
    </row>
    <row r="284">
      <c r="C284" s="32"/>
    </row>
    <row r="285">
      <c r="C285" s="32"/>
    </row>
    <row r="286">
      <c r="C286" s="32"/>
    </row>
    <row r="287">
      <c r="C287" s="32"/>
    </row>
    <row r="288">
      <c r="C288" s="32"/>
    </row>
    <row r="289">
      <c r="C289" s="32"/>
    </row>
    <row r="290">
      <c r="C290" s="32"/>
    </row>
    <row r="291">
      <c r="C291" s="32"/>
    </row>
    <row r="292">
      <c r="C292" s="32"/>
    </row>
    <row r="293">
      <c r="C293" s="32"/>
    </row>
    <row r="294">
      <c r="C294" s="32"/>
    </row>
    <row r="295">
      <c r="C295" s="32"/>
    </row>
    <row r="296">
      <c r="C296" s="32"/>
    </row>
    <row r="297">
      <c r="C297" s="32"/>
    </row>
    <row r="298">
      <c r="C298" s="32"/>
    </row>
    <row r="299">
      <c r="C299" s="32"/>
    </row>
    <row r="300">
      <c r="C300" s="32"/>
    </row>
    <row r="301">
      <c r="C301" s="32"/>
    </row>
    <row r="302">
      <c r="C302" s="32"/>
    </row>
    <row r="303">
      <c r="C303" s="32"/>
    </row>
    <row r="304">
      <c r="C304" s="32"/>
    </row>
    <row r="305">
      <c r="C305" s="32"/>
    </row>
    <row r="306">
      <c r="C306" s="32"/>
    </row>
    <row r="307">
      <c r="C307" s="32"/>
    </row>
    <row r="308">
      <c r="C308" s="32"/>
    </row>
    <row r="309">
      <c r="C309" s="32"/>
    </row>
    <row r="310">
      <c r="C310" s="32"/>
    </row>
    <row r="311">
      <c r="C311" s="32"/>
    </row>
    <row r="312">
      <c r="C312" s="32"/>
    </row>
    <row r="313">
      <c r="C313" s="32"/>
    </row>
    <row r="314">
      <c r="C314" s="32"/>
    </row>
    <row r="315">
      <c r="C315" s="32"/>
    </row>
    <row r="316">
      <c r="C316" s="32"/>
    </row>
    <row r="317">
      <c r="C317" s="32"/>
    </row>
    <row r="318">
      <c r="C318" s="32"/>
    </row>
    <row r="319">
      <c r="C319" s="32"/>
    </row>
    <row r="320">
      <c r="C320" s="32"/>
    </row>
    <row r="321">
      <c r="C321" s="32"/>
    </row>
    <row r="322">
      <c r="C322" s="32"/>
    </row>
    <row r="323">
      <c r="C323" s="32"/>
    </row>
    <row r="324">
      <c r="C324" s="32"/>
    </row>
    <row r="325">
      <c r="C325" s="32"/>
    </row>
    <row r="326">
      <c r="C326" s="32"/>
    </row>
    <row r="327">
      <c r="C327" s="32"/>
    </row>
    <row r="328">
      <c r="C328" s="32"/>
    </row>
    <row r="329">
      <c r="C329" s="32"/>
    </row>
    <row r="330">
      <c r="C330" s="32"/>
    </row>
    <row r="331">
      <c r="C331" s="32"/>
    </row>
    <row r="332">
      <c r="C332" s="32"/>
    </row>
    <row r="333">
      <c r="C333" s="32"/>
    </row>
    <row r="334">
      <c r="C334" s="32"/>
    </row>
    <row r="335">
      <c r="C335" s="32"/>
    </row>
    <row r="336">
      <c r="C336" s="32"/>
    </row>
    <row r="337">
      <c r="C337" s="32"/>
    </row>
    <row r="338">
      <c r="C338" s="32"/>
    </row>
    <row r="339">
      <c r="C339" s="32"/>
    </row>
    <row r="340">
      <c r="C340" s="32"/>
    </row>
    <row r="341">
      <c r="C341" s="32"/>
    </row>
    <row r="342">
      <c r="C342" s="32"/>
    </row>
    <row r="343">
      <c r="C343" s="32"/>
    </row>
    <row r="344">
      <c r="C344" s="32"/>
    </row>
    <row r="345">
      <c r="C345" s="32"/>
    </row>
    <row r="346">
      <c r="C346" s="32"/>
    </row>
    <row r="347">
      <c r="C347" s="32"/>
    </row>
    <row r="348">
      <c r="C348" s="32"/>
    </row>
    <row r="349">
      <c r="C349" s="32"/>
    </row>
    <row r="350">
      <c r="C350" s="32"/>
    </row>
    <row r="351">
      <c r="C351" s="32"/>
    </row>
    <row r="352">
      <c r="C352" s="32"/>
    </row>
    <row r="353">
      <c r="C353" s="32"/>
    </row>
    <row r="354">
      <c r="C354" s="32"/>
    </row>
    <row r="355">
      <c r="C355" s="32"/>
    </row>
    <row r="356">
      <c r="C356" s="32"/>
    </row>
    <row r="357">
      <c r="C357" s="32"/>
    </row>
    <row r="358">
      <c r="C358" s="32"/>
    </row>
    <row r="359">
      <c r="C359" s="32"/>
    </row>
    <row r="360">
      <c r="C360" s="32"/>
    </row>
    <row r="361">
      <c r="C361" s="32"/>
    </row>
    <row r="362">
      <c r="C362" s="32"/>
    </row>
    <row r="363">
      <c r="C363" s="32"/>
    </row>
    <row r="364">
      <c r="C364" s="32"/>
    </row>
    <row r="365">
      <c r="C365" s="32"/>
    </row>
    <row r="366">
      <c r="C366" s="32"/>
    </row>
    <row r="367">
      <c r="C367" s="32"/>
    </row>
    <row r="368">
      <c r="C368" s="32"/>
    </row>
    <row r="369">
      <c r="C369" s="32"/>
    </row>
    <row r="370">
      <c r="C370" s="32"/>
    </row>
    <row r="371">
      <c r="C371" s="32"/>
    </row>
    <row r="372">
      <c r="C372" s="32"/>
    </row>
    <row r="373">
      <c r="C373" s="32"/>
    </row>
    <row r="374">
      <c r="C374" s="32"/>
    </row>
    <row r="375">
      <c r="C375" s="32"/>
    </row>
    <row r="376">
      <c r="C376" s="32"/>
    </row>
    <row r="377">
      <c r="C377" s="32"/>
    </row>
    <row r="378">
      <c r="C378" s="32"/>
    </row>
    <row r="379">
      <c r="C379" s="32"/>
    </row>
    <row r="380">
      <c r="C380" s="32"/>
    </row>
    <row r="381">
      <c r="C381" s="32"/>
    </row>
    <row r="382">
      <c r="C382" s="32"/>
    </row>
    <row r="383">
      <c r="C383" s="32"/>
    </row>
    <row r="384">
      <c r="C384" s="32"/>
    </row>
    <row r="385">
      <c r="C385" s="32"/>
    </row>
    <row r="386">
      <c r="C386" s="32"/>
    </row>
    <row r="387">
      <c r="C387" s="32"/>
    </row>
    <row r="388">
      <c r="C388" s="32"/>
    </row>
    <row r="389">
      <c r="C389" s="32"/>
    </row>
    <row r="390">
      <c r="C390" s="32"/>
    </row>
    <row r="391">
      <c r="C391" s="32"/>
    </row>
    <row r="392">
      <c r="C392" s="32"/>
    </row>
    <row r="393">
      <c r="C393" s="32"/>
    </row>
    <row r="394">
      <c r="C394" s="32"/>
    </row>
    <row r="395">
      <c r="C395" s="32"/>
    </row>
    <row r="396">
      <c r="C396" s="32"/>
    </row>
    <row r="397">
      <c r="C397" s="32"/>
    </row>
    <row r="398">
      <c r="C398" s="32"/>
    </row>
    <row r="399">
      <c r="C399" s="32"/>
    </row>
    <row r="400">
      <c r="C400" s="32"/>
    </row>
    <row r="401">
      <c r="C401" s="32"/>
    </row>
    <row r="402">
      <c r="C402" s="32"/>
    </row>
    <row r="403">
      <c r="C403" s="32"/>
    </row>
    <row r="404">
      <c r="C404" s="32"/>
    </row>
    <row r="405">
      <c r="C405" s="32"/>
    </row>
    <row r="406">
      <c r="C406" s="32"/>
    </row>
    <row r="407">
      <c r="C407" s="32"/>
    </row>
    <row r="408">
      <c r="C408" s="32"/>
    </row>
    <row r="409">
      <c r="C409" s="32"/>
    </row>
    <row r="410">
      <c r="C410" s="32"/>
    </row>
    <row r="411">
      <c r="C411" s="32"/>
    </row>
    <row r="412">
      <c r="C412" s="32"/>
    </row>
    <row r="413">
      <c r="C413" s="32"/>
    </row>
    <row r="414">
      <c r="C414" s="32"/>
    </row>
    <row r="415">
      <c r="C415" s="32"/>
    </row>
    <row r="416">
      <c r="C416" s="32"/>
    </row>
    <row r="417">
      <c r="C417" s="32"/>
    </row>
    <row r="418">
      <c r="C418" s="32"/>
    </row>
    <row r="419">
      <c r="C419" s="32"/>
    </row>
    <row r="420">
      <c r="C420" s="32"/>
    </row>
    <row r="421">
      <c r="C421" s="32"/>
    </row>
    <row r="422">
      <c r="C422" s="32"/>
    </row>
    <row r="423">
      <c r="C423" s="32"/>
    </row>
    <row r="424">
      <c r="C424" s="32"/>
    </row>
    <row r="425">
      <c r="C425" s="32"/>
    </row>
    <row r="426">
      <c r="C426" s="32"/>
    </row>
    <row r="427">
      <c r="C427" s="32"/>
    </row>
    <row r="428">
      <c r="C428" s="32"/>
    </row>
    <row r="429">
      <c r="C429" s="32"/>
    </row>
    <row r="430">
      <c r="C430" s="32"/>
    </row>
    <row r="431">
      <c r="C431" s="32"/>
    </row>
    <row r="432">
      <c r="C432" s="32"/>
    </row>
    <row r="433">
      <c r="C433" s="32"/>
    </row>
    <row r="434">
      <c r="C434" s="32"/>
    </row>
    <row r="435">
      <c r="C435" s="32"/>
    </row>
    <row r="436">
      <c r="C436" s="32"/>
    </row>
    <row r="437">
      <c r="C437" s="32"/>
    </row>
    <row r="438">
      <c r="C438" s="32"/>
    </row>
    <row r="439">
      <c r="C439" s="32"/>
    </row>
    <row r="440">
      <c r="C440" s="32"/>
    </row>
    <row r="441">
      <c r="C441" s="32"/>
    </row>
    <row r="442">
      <c r="C442" s="32"/>
    </row>
    <row r="443">
      <c r="C443" s="32"/>
    </row>
    <row r="444">
      <c r="C444" s="32"/>
    </row>
    <row r="445">
      <c r="C445" s="32"/>
    </row>
    <row r="446">
      <c r="C446" s="32"/>
    </row>
    <row r="447">
      <c r="C447" s="32"/>
    </row>
    <row r="448">
      <c r="C448" s="32"/>
    </row>
    <row r="449">
      <c r="C449" s="32"/>
    </row>
    <row r="450">
      <c r="C450" s="32"/>
    </row>
    <row r="451">
      <c r="C451" s="32"/>
    </row>
    <row r="452">
      <c r="C452" s="32"/>
    </row>
    <row r="453">
      <c r="C453" s="32"/>
    </row>
    <row r="454">
      <c r="C454" s="32"/>
    </row>
    <row r="455">
      <c r="C455" s="32"/>
    </row>
    <row r="456">
      <c r="C456" s="32"/>
    </row>
    <row r="457">
      <c r="C457" s="32"/>
    </row>
    <row r="458">
      <c r="C458" s="32"/>
    </row>
    <row r="459">
      <c r="C459" s="32"/>
    </row>
    <row r="460">
      <c r="C460" s="32"/>
    </row>
    <row r="461">
      <c r="C461" s="32"/>
    </row>
    <row r="462">
      <c r="C462" s="32"/>
    </row>
    <row r="463">
      <c r="C463" s="32"/>
    </row>
    <row r="464">
      <c r="C464" s="32"/>
    </row>
    <row r="465">
      <c r="C465" s="32"/>
    </row>
    <row r="466">
      <c r="C466" s="32"/>
    </row>
    <row r="467">
      <c r="C467" s="32"/>
    </row>
    <row r="468">
      <c r="C468" s="32"/>
    </row>
    <row r="469">
      <c r="C469" s="32"/>
    </row>
    <row r="470">
      <c r="C470" s="32"/>
    </row>
    <row r="471">
      <c r="C471" s="32"/>
    </row>
    <row r="472">
      <c r="C472" s="32"/>
    </row>
    <row r="473">
      <c r="C473" s="32"/>
    </row>
    <row r="474">
      <c r="C474" s="32"/>
    </row>
    <row r="475">
      <c r="C475" s="32"/>
    </row>
    <row r="476">
      <c r="C476" s="32"/>
    </row>
    <row r="477">
      <c r="C477" s="32"/>
    </row>
    <row r="478">
      <c r="C478" s="32"/>
    </row>
    <row r="479">
      <c r="C479" s="32"/>
    </row>
    <row r="480">
      <c r="C480" s="32"/>
    </row>
    <row r="481">
      <c r="C481" s="32"/>
    </row>
    <row r="482">
      <c r="C482" s="32"/>
    </row>
    <row r="483">
      <c r="C483" s="32"/>
    </row>
    <row r="484">
      <c r="C484" s="32"/>
    </row>
    <row r="485">
      <c r="C485" s="32"/>
    </row>
    <row r="486">
      <c r="C486" s="32"/>
    </row>
    <row r="487">
      <c r="C487" s="32"/>
    </row>
    <row r="488">
      <c r="C488" s="32"/>
    </row>
    <row r="489">
      <c r="C489" s="32"/>
    </row>
    <row r="490">
      <c r="C490" s="32"/>
    </row>
    <row r="491">
      <c r="C491" s="32"/>
    </row>
    <row r="492">
      <c r="C492" s="32"/>
    </row>
    <row r="493">
      <c r="C493" s="32"/>
    </row>
    <row r="494">
      <c r="C494" s="32"/>
    </row>
    <row r="495">
      <c r="C495" s="32"/>
    </row>
    <row r="496">
      <c r="C496" s="32"/>
    </row>
    <row r="497">
      <c r="C497" s="32"/>
    </row>
    <row r="498">
      <c r="C498" s="32"/>
    </row>
    <row r="499">
      <c r="C499" s="32"/>
    </row>
    <row r="500">
      <c r="C500" s="32"/>
    </row>
    <row r="501">
      <c r="C501" s="32"/>
    </row>
    <row r="502">
      <c r="C502" s="32"/>
    </row>
    <row r="503">
      <c r="C503" s="32"/>
    </row>
    <row r="504">
      <c r="C504" s="32"/>
    </row>
    <row r="505">
      <c r="C505" s="32"/>
    </row>
    <row r="506">
      <c r="C506" s="32"/>
    </row>
    <row r="507">
      <c r="C507" s="32"/>
    </row>
    <row r="508">
      <c r="C508" s="32"/>
    </row>
    <row r="509">
      <c r="C509" s="32"/>
    </row>
    <row r="510">
      <c r="C510" s="32"/>
    </row>
    <row r="511">
      <c r="C511" s="32"/>
    </row>
    <row r="512">
      <c r="C512" s="32"/>
    </row>
    <row r="513">
      <c r="C513" s="32"/>
    </row>
    <row r="514">
      <c r="C514" s="32"/>
    </row>
    <row r="515">
      <c r="C515" s="32"/>
    </row>
    <row r="516">
      <c r="C516" s="32"/>
    </row>
    <row r="517">
      <c r="C517" s="32"/>
    </row>
    <row r="518">
      <c r="C518" s="32"/>
    </row>
    <row r="519">
      <c r="C519" s="32"/>
    </row>
    <row r="520">
      <c r="C520" s="32"/>
    </row>
    <row r="521">
      <c r="C521" s="32"/>
    </row>
    <row r="522">
      <c r="C522" s="32"/>
    </row>
    <row r="523">
      <c r="C523" s="32"/>
    </row>
    <row r="524">
      <c r="C524" s="32"/>
    </row>
    <row r="525">
      <c r="C525" s="32"/>
    </row>
    <row r="526">
      <c r="C526" s="32"/>
    </row>
    <row r="527">
      <c r="C527" s="32"/>
    </row>
    <row r="528">
      <c r="C528" s="32"/>
    </row>
    <row r="529">
      <c r="C529" s="32"/>
    </row>
    <row r="530">
      <c r="C530" s="32"/>
    </row>
    <row r="531">
      <c r="C531" s="32"/>
    </row>
    <row r="532">
      <c r="C532" s="32"/>
    </row>
    <row r="533">
      <c r="C533" s="32"/>
    </row>
    <row r="534">
      <c r="C534" s="32"/>
    </row>
    <row r="535">
      <c r="C535" s="32"/>
    </row>
    <row r="536">
      <c r="C536" s="32"/>
    </row>
    <row r="537">
      <c r="C537" s="32"/>
    </row>
    <row r="538">
      <c r="C538" s="32"/>
    </row>
    <row r="539">
      <c r="C539" s="32"/>
    </row>
    <row r="540">
      <c r="C540" s="32"/>
    </row>
    <row r="541">
      <c r="C541" s="32"/>
    </row>
    <row r="542">
      <c r="C542" s="32"/>
    </row>
    <row r="543">
      <c r="C543" s="32"/>
    </row>
    <row r="544">
      <c r="C544" s="32"/>
    </row>
    <row r="545">
      <c r="C545" s="32"/>
    </row>
    <row r="546">
      <c r="C546" s="32"/>
    </row>
    <row r="547">
      <c r="C547" s="32"/>
    </row>
    <row r="548">
      <c r="C548" s="32"/>
    </row>
    <row r="549">
      <c r="C549" s="32"/>
    </row>
    <row r="550">
      <c r="C550" s="32"/>
    </row>
    <row r="551">
      <c r="C551" s="32"/>
    </row>
    <row r="552">
      <c r="C552" s="32"/>
    </row>
    <row r="553">
      <c r="C553" s="32"/>
    </row>
    <row r="554">
      <c r="C554" s="32"/>
    </row>
    <row r="555">
      <c r="C555" s="32"/>
    </row>
    <row r="556">
      <c r="C556" s="32"/>
    </row>
    <row r="557">
      <c r="C557" s="32"/>
    </row>
    <row r="558">
      <c r="C558" s="32"/>
    </row>
    <row r="559">
      <c r="C559" s="32"/>
    </row>
    <row r="560">
      <c r="C560" s="32"/>
    </row>
    <row r="561">
      <c r="C561" s="32"/>
    </row>
    <row r="562">
      <c r="C562" s="32"/>
    </row>
    <row r="563">
      <c r="C563" s="32"/>
    </row>
    <row r="564">
      <c r="C564" s="32"/>
    </row>
    <row r="565">
      <c r="C565" s="32"/>
    </row>
    <row r="566">
      <c r="C566" s="32"/>
    </row>
    <row r="567">
      <c r="C567" s="32"/>
    </row>
    <row r="568">
      <c r="C568" s="32"/>
    </row>
    <row r="569">
      <c r="C569" s="32"/>
    </row>
    <row r="570">
      <c r="C570" s="32"/>
    </row>
    <row r="571">
      <c r="C571" s="32"/>
    </row>
    <row r="572">
      <c r="C572" s="32"/>
    </row>
    <row r="573">
      <c r="C573" s="32"/>
    </row>
    <row r="574">
      <c r="C574" s="32"/>
    </row>
    <row r="575">
      <c r="C575" s="32"/>
    </row>
    <row r="576">
      <c r="C576" s="32"/>
    </row>
    <row r="577">
      <c r="C577" s="32"/>
    </row>
    <row r="578">
      <c r="C578" s="32"/>
    </row>
    <row r="579">
      <c r="C579" s="32"/>
    </row>
    <row r="580">
      <c r="C580" s="32"/>
    </row>
    <row r="581">
      <c r="C581" s="32"/>
    </row>
    <row r="582">
      <c r="C582" s="32"/>
    </row>
    <row r="583">
      <c r="C583" s="32"/>
    </row>
    <row r="584">
      <c r="C584" s="32"/>
    </row>
    <row r="585">
      <c r="C585" s="32"/>
    </row>
    <row r="586">
      <c r="C586" s="32"/>
    </row>
    <row r="587">
      <c r="C587" s="32"/>
    </row>
    <row r="588">
      <c r="C588" s="32"/>
    </row>
    <row r="589">
      <c r="C589" s="32"/>
    </row>
    <row r="590">
      <c r="C590" s="32"/>
    </row>
    <row r="591">
      <c r="C591" s="32"/>
    </row>
    <row r="592">
      <c r="C592" s="32"/>
    </row>
    <row r="593">
      <c r="C593" s="32"/>
    </row>
    <row r="594">
      <c r="C594" s="32"/>
    </row>
    <row r="595">
      <c r="C595" s="32"/>
    </row>
    <row r="596">
      <c r="C596" s="32"/>
    </row>
    <row r="597">
      <c r="C597" s="32"/>
    </row>
    <row r="598">
      <c r="C598" s="32"/>
    </row>
    <row r="599">
      <c r="C599" s="32"/>
    </row>
    <row r="600">
      <c r="C600" s="32"/>
    </row>
    <row r="601">
      <c r="C601" s="32"/>
    </row>
    <row r="602">
      <c r="C602" s="32"/>
    </row>
    <row r="603">
      <c r="C603" s="32"/>
    </row>
    <row r="604">
      <c r="C604" s="32"/>
    </row>
    <row r="605">
      <c r="C605" s="32"/>
    </row>
    <row r="606">
      <c r="C606" s="32"/>
    </row>
    <row r="607">
      <c r="C607" s="32"/>
    </row>
    <row r="608">
      <c r="C608" s="32"/>
    </row>
    <row r="609">
      <c r="C609" s="32"/>
    </row>
    <row r="610">
      <c r="C610" s="32"/>
    </row>
    <row r="611">
      <c r="C611" s="32"/>
    </row>
    <row r="612">
      <c r="C612" s="32"/>
    </row>
    <row r="613">
      <c r="C613" s="32"/>
    </row>
    <row r="614">
      <c r="C614" s="32"/>
    </row>
    <row r="615">
      <c r="C615" s="32"/>
    </row>
    <row r="616">
      <c r="C616" s="32"/>
    </row>
    <row r="617">
      <c r="C617" s="32"/>
    </row>
    <row r="618">
      <c r="C618" s="32"/>
    </row>
    <row r="619">
      <c r="C619" s="32"/>
    </row>
    <row r="620">
      <c r="C620" s="32"/>
    </row>
    <row r="621">
      <c r="C621" s="32"/>
    </row>
    <row r="622">
      <c r="C622" s="32"/>
    </row>
    <row r="623">
      <c r="C623" s="32"/>
    </row>
    <row r="624">
      <c r="C624" s="32"/>
    </row>
    <row r="625">
      <c r="C625" s="32"/>
    </row>
    <row r="626">
      <c r="C626" s="32"/>
    </row>
    <row r="627">
      <c r="C627" s="32"/>
    </row>
    <row r="628">
      <c r="C628" s="32"/>
    </row>
    <row r="629">
      <c r="C629" s="32"/>
    </row>
    <row r="630">
      <c r="C630" s="32"/>
    </row>
    <row r="631">
      <c r="C631" s="32"/>
    </row>
    <row r="632">
      <c r="C632" s="32"/>
    </row>
    <row r="633">
      <c r="C633" s="32"/>
    </row>
    <row r="634">
      <c r="C634" s="32"/>
    </row>
    <row r="635">
      <c r="C635" s="32"/>
    </row>
    <row r="636">
      <c r="C636" s="32"/>
    </row>
    <row r="637">
      <c r="C637" s="32"/>
    </row>
    <row r="638">
      <c r="C638" s="32"/>
    </row>
    <row r="639">
      <c r="C639" s="32"/>
    </row>
    <row r="640">
      <c r="C640" s="32"/>
    </row>
    <row r="641">
      <c r="C641" s="32"/>
    </row>
    <row r="642">
      <c r="C642" s="32"/>
    </row>
    <row r="643">
      <c r="C643" s="32"/>
    </row>
    <row r="644">
      <c r="C644" s="32"/>
    </row>
    <row r="645">
      <c r="C645" s="32"/>
    </row>
    <row r="646">
      <c r="C646" s="32"/>
    </row>
    <row r="647">
      <c r="C647" s="32"/>
    </row>
    <row r="648">
      <c r="C648" s="32"/>
    </row>
    <row r="649">
      <c r="C649" s="32"/>
    </row>
    <row r="650">
      <c r="C650" s="32"/>
    </row>
    <row r="651">
      <c r="C651" s="32"/>
    </row>
    <row r="652">
      <c r="C652" s="32"/>
    </row>
    <row r="653">
      <c r="C653" s="32"/>
    </row>
    <row r="654">
      <c r="C654" s="32"/>
    </row>
    <row r="655">
      <c r="C655" s="32"/>
    </row>
    <row r="656">
      <c r="C656" s="32"/>
    </row>
    <row r="657">
      <c r="C657" s="32"/>
    </row>
    <row r="658">
      <c r="C658" s="32"/>
    </row>
    <row r="659">
      <c r="C659" s="32"/>
    </row>
    <row r="660">
      <c r="C660" s="32"/>
    </row>
    <row r="661">
      <c r="C661" s="32"/>
    </row>
    <row r="662">
      <c r="C662" s="32"/>
    </row>
    <row r="663">
      <c r="C663" s="32"/>
    </row>
    <row r="664">
      <c r="C664" s="32"/>
    </row>
    <row r="665">
      <c r="C665" s="32"/>
    </row>
    <row r="666">
      <c r="C666" s="32"/>
    </row>
    <row r="667">
      <c r="C667" s="32"/>
    </row>
    <row r="668">
      <c r="C668" s="32"/>
    </row>
    <row r="669">
      <c r="C669" s="32"/>
    </row>
    <row r="670">
      <c r="C670" s="32"/>
    </row>
    <row r="671">
      <c r="C671" s="32"/>
    </row>
    <row r="672">
      <c r="C672" s="32"/>
    </row>
    <row r="673">
      <c r="C673" s="32"/>
    </row>
    <row r="674">
      <c r="C674" s="32"/>
    </row>
    <row r="675">
      <c r="C675" s="32"/>
    </row>
    <row r="676">
      <c r="C676" s="32"/>
    </row>
    <row r="677">
      <c r="C677" s="32"/>
    </row>
    <row r="678">
      <c r="C678" s="32"/>
    </row>
    <row r="679">
      <c r="C679" s="32"/>
    </row>
    <row r="680">
      <c r="C680" s="32"/>
    </row>
    <row r="681">
      <c r="C681" s="32"/>
    </row>
    <row r="682">
      <c r="C682" s="32"/>
    </row>
    <row r="683">
      <c r="C683" s="32"/>
    </row>
    <row r="684">
      <c r="C684" s="32"/>
    </row>
    <row r="685">
      <c r="C685" s="32"/>
    </row>
    <row r="686">
      <c r="C686" s="32"/>
    </row>
    <row r="687">
      <c r="C687" s="32"/>
    </row>
    <row r="688">
      <c r="C688" s="32"/>
    </row>
    <row r="689">
      <c r="C689" s="32"/>
    </row>
    <row r="690">
      <c r="C690" s="32"/>
    </row>
    <row r="691">
      <c r="C691" s="32"/>
    </row>
    <row r="692">
      <c r="C692" s="32"/>
    </row>
    <row r="693">
      <c r="C693" s="32"/>
    </row>
    <row r="694">
      <c r="C694" s="32"/>
    </row>
    <row r="695">
      <c r="C695" s="32"/>
    </row>
    <row r="696">
      <c r="C696" s="32"/>
    </row>
    <row r="697">
      <c r="C697" s="32"/>
    </row>
    <row r="698">
      <c r="C698" s="32"/>
    </row>
    <row r="699">
      <c r="C699" s="32"/>
    </row>
    <row r="700">
      <c r="C700" s="32"/>
    </row>
    <row r="701">
      <c r="C701" s="32"/>
    </row>
    <row r="702">
      <c r="C702" s="32"/>
    </row>
    <row r="703">
      <c r="C703" s="32"/>
    </row>
    <row r="704">
      <c r="C704" s="32"/>
    </row>
    <row r="705">
      <c r="C705" s="32"/>
    </row>
    <row r="706">
      <c r="C706" s="32"/>
    </row>
    <row r="707">
      <c r="C707" s="32"/>
    </row>
    <row r="708">
      <c r="C708" s="32"/>
    </row>
    <row r="709">
      <c r="C709" s="32"/>
    </row>
    <row r="710">
      <c r="C710" s="32"/>
    </row>
    <row r="711">
      <c r="C711" s="32"/>
    </row>
    <row r="712">
      <c r="C712" s="32"/>
    </row>
    <row r="713">
      <c r="C713" s="32"/>
    </row>
    <row r="714">
      <c r="C714" s="32"/>
    </row>
    <row r="715">
      <c r="C715" s="32"/>
    </row>
    <row r="716">
      <c r="C716" s="32"/>
    </row>
    <row r="717">
      <c r="C717" s="32"/>
    </row>
    <row r="718">
      <c r="C718" s="32"/>
    </row>
    <row r="719">
      <c r="C719" s="32"/>
    </row>
    <row r="720">
      <c r="C720" s="32"/>
    </row>
    <row r="721">
      <c r="C721" s="32"/>
    </row>
    <row r="722">
      <c r="C722" s="32"/>
    </row>
    <row r="723">
      <c r="C723" s="32"/>
    </row>
    <row r="724">
      <c r="C724" s="32"/>
    </row>
    <row r="725">
      <c r="C725" s="32"/>
    </row>
    <row r="726">
      <c r="C726" s="32"/>
    </row>
    <row r="727">
      <c r="C727" s="32"/>
    </row>
    <row r="728">
      <c r="C728" s="32"/>
    </row>
    <row r="729">
      <c r="C729" s="32"/>
    </row>
    <row r="730">
      <c r="C730" s="32"/>
    </row>
    <row r="731">
      <c r="C731" s="32"/>
    </row>
    <row r="732">
      <c r="C732" s="32"/>
    </row>
    <row r="733">
      <c r="C733" s="32"/>
    </row>
    <row r="734">
      <c r="C734" s="32"/>
    </row>
    <row r="735">
      <c r="C735" s="32"/>
    </row>
    <row r="736">
      <c r="C736" s="32"/>
    </row>
    <row r="737">
      <c r="C737" s="32"/>
    </row>
    <row r="738">
      <c r="C738" s="32"/>
    </row>
    <row r="739">
      <c r="C739" s="32"/>
    </row>
    <row r="740">
      <c r="C740" s="32"/>
    </row>
    <row r="741">
      <c r="C741" s="32"/>
    </row>
    <row r="742">
      <c r="C742" s="32"/>
    </row>
    <row r="743">
      <c r="C743" s="32"/>
    </row>
    <row r="744">
      <c r="C744" s="32"/>
    </row>
    <row r="745">
      <c r="C745" s="32"/>
    </row>
    <row r="746">
      <c r="C746" s="32"/>
    </row>
    <row r="747">
      <c r="C747" s="32"/>
    </row>
    <row r="748">
      <c r="C748" s="32"/>
    </row>
    <row r="749">
      <c r="C749" s="32"/>
    </row>
    <row r="750">
      <c r="C750" s="32"/>
    </row>
    <row r="751">
      <c r="C751" s="32"/>
    </row>
    <row r="752">
      <c r="C752" s="32"/>
    </row>
    <row r="753">
      <c r="C753" s="32"/>
    </row>
    <row r="754">
      <c r="C754" s="32"/>
    </row>
    <row r="755">
      <c r="C755" s="32"/>
    </row>
    <row r="756">
      <c r="C756" s="32"/>
    </row>
    <row r="757">
      <c r="C757" s="32"/>
    </row>
    <row r="758">
      <c r="C758" s="32"/>
    </row>
    <row r="759">
      <c r="C759" s="32"/>
    </row>
    <row r="760">
      <c r="C760" s="32"/>
    </row>
    <row r="761">
      <c r="C761" s="32"/>
    </row>
    <row r="762">
      <c r="C762" s="32"/>
    </row>
    <row r="763">
      <c r="C763" s="32"/>
    </row>
    <row r="764">
      <c r="C764" s="32"/>
    </row>
    <row r="765">
      <c r="C765" s="32"/>
    </row>
    <row r="766">
      <c r="C766" s="32"/>
    </row>
    <row r="767">
      <c r="C767" s="32"/>
    </row>
    <row r="768">
      <c r="C768" s="32"/>
    </row>
    <row r="769">
      <c r="C769" s="32"/>
    </row>
    <row r="770">
      <c r="C770" s="32"/>
    </row>
    <row r="771">
      <c r="C771" s="32"/>
    </row>
    <row r="772">
      <c r="C772" s="32"/>
    </row>
    <row r="773">
      <c r="C773" s="32"/>
    </row>
    <row r="774">
      <c r="C774" s="32"/>
    </row>
    <row r="775">
      <c r="C775" s="32"/>
    </row>
    <row r="776">
      <c r="C776" s="32"/>
    </row>
    <row r="777">
      <c r="C777" s="32"/>
    </row>
    <row r="778">
      <c r="C778" s="32"/>
    </row>
    <row r="779">
      <c r="C779" s="32"/>
    </row>
    <row r="780">
      <c r="C780" s="32"/>
    </row>
    <row r="781">
      <c r="C781" s="32"/>
    </row>
    <row r="782">
      <c r="C782" s="32"/>
    </row>
    <row r="783">
      <c r="C783" s="32"/>
    </row>
    <row r="784">
      <c r="C784" s="32"/>
    </row>
    <row r="785">
      <c r="C785" s="32"/>
    </row>
    <row r="786">
      <c r="C786" s="32"/>
    </row>
    <row r="787">
      <c r="C787" s="32"/>
    </row>
    <row r="788">
      <c r="C788" s="32"/>
    </row>
    <row r="789">
      <c r="C789" s="32"/>
    </row>
    <row r="790">
      <c r="C790" s="32"/>
    </row>
    <row r="791">
      <c r="C791" s="32"/>
    </row>
    <row r="792">
      <c r="C792" s="32"/>
    </row>
    <row r="793">
      <c r="C793" s="32"/>
    </row>
    <row r="794">
      <c r="C794" s="32"/>
    </row>
    <row r="795">
      <c r="C795" s="32"/>
    </row>
    <row r="796">
      <c r="C796" s="32"/>
    </row>
    <row r="797">
      <c r="C797" s="32"/>
    </row>
    <row r="798">
      <c r="C798" s="32"/>
    </row>
    <row r="799">
      <c r="C799" s="32"/>
    </row>
    <row r="800">
      <c r="C800" s="32"/>
    </row>
    <row r="801">
      <c r="C801" s="32"/>
    </row>
    <row r="802">
      <c r="C802" s="32"/>
    </row>
    <row r="803">
      <c r="C803" s="32"/>
    </row>
    <row r="804">
      <c r="C804" s="32"/>
    </row>
    <row r="805">
      <c r="C805" s="32"/>
    </row>
    <row r="806">
      <c r="C806" s="32"/>
    </row>
    <row r="807">
      <c r="C807" s="32"/>
    </row>
    <row r="808">
      <c r="C808" s="32"/>
    </row>
    <row r="809">
      <c r="C809" s="32"/>
    </row>
    <row r="810">
      <c r="C810" s="32"/>
    </row>
    <row r="811">
      <c r="C811" s="32"/>
    </row>
    <row r="812">
      <c r="C812" s="32"/>
    </row>
    <row r="813">
      <c r="C813" s="32"/>
    </row>
    <row r="814">
      <c r="C814" s="32"/>
    </row>
    <row r="815">
      <c r="C815" s="32"/>
    </row>
    <row r="816">
      <c r="C816" s="32"/>
    </row>
    <row r="817">
      <c r="C817" s="32"/>
    </row>
    <row r="818">
      <c r="C818" s="32"/>
    </row>
    <row r="819">
      <c r="C819" s="32"/>
    </row>
    <row r="820">
      <c r="C820" s="32"/>
    </row>
    <row r="821">
      <c r="C821" s="32"/>
    </row>
    <row r="822">
      <c r="C822" s="32"/>
    </row>
    <row r="823">
      <c r="C823" s="32"/>
    </row>
    <row r="824">
      <c r="C824" s="32"/>
    </row>
    <row r="825">
      <c r="C825" s="32"/>
    </row>
    <row r="826">
      <c r="C826" s="32"/>
    </row>
    <row r="827">
      <c r="C827" s="32"/>
    </row>
    <row r="828">
      <c r="C828" s="32"/>
    </row>
    <row r="829">
      <c r="C829" s="32"/>
    </row>
    <row r="830">
      <c r="C830" s="32"/>
    </row>
    <row r="831">
      <c r="C831" s="32"/>
    </row>
    <row r="832">
      <c r="C832" s="32"/>
    </row>
    <row r="833">
      <c r="C833" s="32"/>
    </row>
    <row r="834">
      <c r="C834" s="32"/>
    </row>
    <row r="835">
      <c r="C835" s="32"/>
    </row>
    <row r="836">
      <c r="C836" s="32"/>
    </row>
    <row r="837">
      <c r="C837" s="32"/>
    </row>
    <row r="838">
      <c r="C838" s="32"/>
    </row>
    <row r="839">
      <c r="C839" s="32"/>
    </row>
    <row r="840">
      <c r="C840" s="32"/>
    </row>
    <row r="841">
      <c r="C841" s="32"/>
    </row>
    <row r="842">
      <c r="C842" s="32"/>
    </row>
    <row r="843">
      <c r="C843" s="32"/>
    </row>
    <row r="844">
      <c r="C844" s="32"/>
    </row>
    <row r="845">
      <c r="C845" s="32"/>
    </row>
    <row r="846">
      <c r="C846" s="32"/>
    </row>
    <row r="847">
      <c r="C847" s="32"/>
    </row>
    <row r="848">
      <c r="C848" s="32"/>
    </row>
    <row r="849">
      <c r="C849" s="32"/>
    </row>
    <row r="850">
      <c r="C850" s="32"/>
    </row>
    <row r="851">
      <c r="C851" s="32"/>
    </row>
    <row r="852">
      <c r="C852" s="32"/>
    </row>
    <row r="853">
      <c r="C853" s="32"/>
    </row>
    <row r="854">
      <c r="C854" s="32"/>
    </row>
    <row r="855">
      <c r="C855" s="32"/>
    </row>
    <row r="856">
      <c r="C856" s="32"/>
    </row>
    <row r="857">
      <c r="C857" s="32"/>
    </row>
    <row r="858">
      <c r="C858" s="32"/>
    </row>
    <row r="859">
      <c r="C859" s="32"/>
    </row>
    <row r="860">
      <c r="C860" s="32"/>
    </row>
    <row r="861">
      <c r="C861" s="32"/>
    </row>
    <row r="862">
      <c r="C862" s="32"/>
    </row>
    <row r="863">
      <c r="C863" s="32"/>
    </row>
    <row r="864">
      <c r="C864" s="32"/>
    </row>
    <row r="865">
      <c r="C865" s="32"/>
    </row>
    <row r="866">
      <c r="C866" s="32"/>
    </row>
    <row r="867">
      <c r="C867" s="32"/>
    </row>
    <row r="868">
      <c r="C868" s="32"/>
    </row>
    <row r="869">
      <c r="C869" s="32"/>
    </row>
    <row r="870">
      <c r="C870" s="32"/>
    </row>
    <row r="871">
      <c r="C871" s="32"/>
    </row>
    <row r="872">
      <c r="C872" s="32"/>
    </row>
    <row r="873">
      <c r="C873" s="32"/>
    </row>
    <row r="874">
      <c r="C874" s="32"/>
    </row>
    <row r="875">
      <c r="C875" s="32"/>
    </row>
    <row r="876">
      <c r="C876" s="32"/>
    </row>
    <row r="877">
      <c r="C877" s="32"/>
    </row>
    <row r="878">
      <c r="C878" s="32"/>
    </row>
    <row r="879">
      <c r="C879" s="32"/>
    </row>
    <row r="880">
      <c r="C880" s="32"/>
    </row>
    <row r="881">
      <c r="C881" s="32"/>
    </row>
    <row r="882">
      <c r="C882" s="32"/>
    </row>
    <row r="883">
      <c r="C883" s="32"/>
    </row>
    <row r="884">
      <c r="C884" s="32"/>
    </row>
    <row r="885">
      <c r="C885" s="32"/>
    </row>
    <row r="886">
      <c r="C886" s="32"/>
    </row>
    <row r="887">
      <c r="C887" s="32"/>
    </row>
    <row r="888">
      <c r="C888" s="32"/>
    </row>
    <row r="889">
      <c r="C889" s="32"/>
    </row>
    <row r="890">
      <c r="C890" s="32"/>
    </row>
    <row r="891">
      <c r="C891" s="32"/>
    </row>
    <row r="892">
      <c r="C892" s="32"/>
    </row>
    <row r="893">
      <c r="C893" s="32"/>
    </row>
    <row r="894">
      <c r="C894" s="32"/>
    </row>
    <row r="895">
      <c r="C895" s="32"/>
    </row>
    <row r="896">
      <c r="C896" s="32"/>
    </row>
    <row r="897">
      <c r="C897" s="32"/>
    </row>
    <row r="898">
      <c r="C898" s="32"/>
    </row>
    <row r="899">
      <c r="C899" s="32"/>
    </row>
    <row r="900">
      <c r="C900" s="32"/>
    </row>
    <row r="901">
      <c r="C901" s="32"/>
    </row>
    <row r="902">
      <c r="C902" s="32"/>
    </row>
    <row r="903">
      <c r="C903" s="32"/>
    </row>
    <row r="904">
      <c r="C904" s="32"/>
    </row>
    <row r="905">
      <c r="C905" s="32"/>
    </row>
    <row r="906">
      <c r="C906" s="32"/>
    </row>
    <row r="907">
      <c r="C907" s="32"/>
    </row>
    <row r="908">
      <c r="C908" s="32"/>
    </row>
    <row r="909">
      <c r="C909" s="32"/>
    </row>
    <row r="910">
      <c r="C910" s="32"/>
    </row>
    <row r="911">
      <c r="C911" s="32"/>
    </row>
    <row r="912">
      <c r="C912" s="32"/>
    </row>
    <row r="913">
      <c r="C913" s="32"/>
    </row>
    <row r="914">
      <c r="C914" s="32"/>
    </row>
    <row r="915">
      <c r="C915" s="32"/>
    </row>
    <row r="916">
      <c r="C916" s="32"/>
    </row>
    <row r="917">
      <c r="C917" s="32"/>
    </row>
    <row r="918">
      <c r="C918" s="32"/>
    </row>
    <row r="919">
      <c r="C919" s="32"/>
    </row>
    <row r="920">
      <c r="C920" s="32"/>
    </row>
    <row r="921">
      <c r="C921" s="32"/>
    </row>
    <row r="922">
      <c r="C922" s="32"/>
    </row>
    <row r="923">
      <c r="C923" s="32"/>
    </row>
    <row r="924">
      <c r="C924" s="32"/>
    </row>
    <row r="925">
      <c r="C925" s="32"/>
    </row>
    <row r="926">
      <c r="C926" s="32"/>
    </row>
    <row r="927">
      <c r="C927" s="32"/>
    </row>
    <row r="928">
      <c r="C928" s="32"/>
    </row>
    <row r="929">
      <c r="C929" s="32"/>
    </row>
    <row r="930">
      <c r="C930" s="32"/>
    </row>
    <row r="931">
      <c r="C931" s="32"/>
    </row>
    <row r="932">
      <c r="C932" s="32"/>
    </row>
    <row r="933">
      <c r="C933" s="32"/>
    </row>
    <row r="934">
      <c r="C934" s="32"/>
    </row>
    <row r="935">
      <c r="C935" s="32"/>
    </row>
    <row r="936">
      <c r="C936" s="32"/>
    </row>
    <row r="937">
      <c r="C937" s="32"/>
    </row>
    <row r="938">
      <c r="C938" s="32"/>
    </row>
    <row r="939">
      <c r="C939" s="32"/>
    </row>
    <row r="940">
      <c r="C940" s="32"/>
    </row>
    <row r="941">
      <c r="C941" s="32"/>
    </row>
    <row r="942">
      <c r="C942" s="32"/>
    </row>
    <row r="943">
      <c r="C943" s="32"/>
    </row>
    <row r="944">
      <c r="C944" s="32"/>
    </row>
    <row r="945">
      <c r="C945" s="32"/>
    </row>
    <row r="946">
      <c r="C946" s="32"/>
    </row>
    <row r="947">
      <c r="C947" s="32"/>
    </row>
    <row r="948">
      <c r="C948" s="32"/>
    </row>
    <row r="949">
      <c r="C949" s="32"/>
    </row>
    <row r="950">
      <c r="C950" s="32"/>
    </row>
    <row r="951">
      <c r="C951" s="32"/>
    </row>
    <row r="952">
      <c r="C952" s="32"/>
    </row>
    <row r="953">
      <c r="C953" s="32"/>
    </row>
    <row r="954">
      <c r="C954" s="32"/>
    </row>
    <row r="955">
      <c r="C955" s="32"/>
    </row>
    <row r="956">
      <c r="C956" s="32"/>
    </row>
    <row r="957">
      <c r="C957" s="32"/>
    </row>
    <row r="958">
      <c r="C958" s="32"/>
    </row>
    <row r="959">
      <c r="C959" s="32"/>
    </row>
    <row r="960">
      <c r="C960" s="32"/>
    </row>
    <row r="961">
      <c r="C961" s="32"/>
    </row>
    <row r="962">
      <c r="C962" s="32"/>
    </row>
    <row r="963">
      <c r="C963" s="32"/>
    </row>
    <row r="964">
      <c r="C964" s="32"/>
    </row>
    <row r="965">
      <c r="C965" s="32"/>
    </row>
    <row r="966">
      <c r="C966" s="32"/>
    </row>
    <row r="967">
      <c r="C967" s="32"/>
    </row>
    <row r="968">
      <c r="C968" s="32"/>
    </row>
    <row r="969">
      <c r="C969" s="32"/>
    </row>
    <row r="970">
      <c r="C970" s="32"/>
    </row>
    <row r="971">
      <c r="C971" s="32"/>
    </row>
    <row r="972">
      <c r="C972" s="32"/>
    </row>
    <row r="973">
      <c r="C973" s="32"/>
    </row>
    <row r="974">
      <c r="C974" s="32"/>
    </row>
    <row r="975">
      <c r="C975" s="32"/>
    </row>
    <row r="976">
      <c r="C976" s="32"/>
    </row>
    <row r="977">
      <c r="C977" s="32"/>
    </row>
    <row r="978">
      <c r="C978" s="32"/>
    </row>
    <row r="979">
      <c r="C979" s="32"/>
    </row>
    <row r="980">
      <c r="C980" s="32"/>
    </row>
    <row r="981">
      <c r="C981" s="32"/>
    </row>
    <row r="982">
      <c r="C982" s="32"/>
    </row>
    <row r="983">
      <c r="C983" s="32"/>
    </row>
    <row r="984">
      <c r="C984" s="32"/>
    </row>
    <row r="985">
      <c r="C985" s="32"/>
    </row>
    <row r="986">
      <c r="C986" s="32"/>
    </row>
    <row r="987">
      <c r="C987" s="32"/>
    </row>
    <row r="988">
      <c r="C988" s="32"/>
    </row>
    <row r="989">
      <c r="C989" s="32"/>
    </row>
    <row r="990">
      <c r="C990" s="32"/>
    </row>
    <row r="991">
      <c r="C991" s="32"/>
    </row>
    <row r="992">
      <c r="C992" s="32"/>
    </row>
    <row r="993">
      <c r="C993" s="32"/>
    </row>
    <row r="994">
      <c r="C994" s="32"/>
    </row>
    <row r="995">
      <c r="C995" s="32"/>
    </row>
    <row r="996">
      <c r="C996" s="32"/>
    </row>
    <row r="997">
      <c r="C997" s="32"/>
    </row>
    <row r="998">
      <c r="C998" s="32"/>
    </row>
    <row r="999">
      <c r="C999" s="32"/>
    </row>
    <row r="1000">
      <c r="C1000" s="32"/>
    </row>
  </sheetData>
  <mergeCells count="8">
    <mergeCell ref="B12:G12"/>
    <mergeCell ref="L13:Q13"/>
    <mergeCell ref="B24:G24"/>
    <mergeCell ref="L27:Q27"/>
    <mergeCell ref="B39:G39"/>
    <mergeCell ref="L41:Q41"/>
    <mergeCell ref="B53:G53"/>
    <mergeCell ref="L55:Q5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3.25" customHeight="1">
      <c r="A1" s="33" t="s">
        <v>9</v>
      </c>
      <c r="B1" s="33"/>
      <c r="C1" s="33"/>
      <c r="D1" s="33"/>
      <c r="E1" s="33"/>
      <c r="F1" s="33"/>
      <c r="G1" s="33"/>
    </row>
    <row r="2" ht="45.75" customHeight="1">
      <c r="A2" s="34" t="s">
        <v>1</v>
      </c>
      <c r="B2" s="35" t="s">
        <v>2</v>
      </c>
      <c r="C2" s="35" t="s">
        <v>3</v>
      </c>
      <c r="D2" s="35" t="s">
        <v>4</v>
      </c>
      <c r="E2" s="35" t="s">
        <v>5</v>
      </c>
      <c r="F2" s="35" t="s">
        <v>6</v>
      </c>
      <c r="G2" s="35" t="s">
        <v>7</v>
      </c>
    </row>
    <row r="3">
      <c r="A3" s="36">
        <v>46055.0</v>
      </c>
      <c r="B3" s="37">
        <v>154.06</v>
      </c>
      <c r="C3" s="37">
        <v>156.62</v>
      </c>
      <c r="D3" s="37">
        <v>153.19</v>
      </c>
      <c r="E3" s="37">
        <v>155.2</v>
      </c>
      <c r="F3" s="37">
        <v>155.2</v>
      </c>
      <c r="G3" s="38">
        <v>1.46556E7</v>
      </c>
    </row>
    <row r="4">
      <c r="A4" s="39">
        <v>46048.0</v>
      </c>
      <c r="B4" s="40">
        <v>144.8</v>
      </c>
      <c r="C4" s="40">
        <v>153.89</v>
      </c>
      <c r="D4" s="40">
        <v>144.14</v>
      </c>
      <c r="E4" s="40">
        <v>153.63</v>
      </c>
      <c r="F4" s="40">
        <v>153.63</v>
      </c>
      <c r="G4" s="41">
        <v>4.13622E7</v>
      </c>
    </row>
    <row r="5">
      <c r="A5" s="36">
        <v>46041.0</v>
      </c>
      <c r="B5" s="37">
        <v>146.22</v>
      </c>
      <c r="C5" s="37">
        <v>148.01</v>
      </c>
      <c r="D5" s="37">
        <v>143.06</v>
      </c>
      <c r="E5" s="37">
        <v>144.58</v>
      </c>
      <c r="F5" s="37">
        <v>144.58</v>
      </c>
      <c r="G5" s="38">
        <v>3.16999E7</v>
      </c>
    </row>
    <row r="6">
      <c r="A6" s="39">
        <v>46034.0</v>
      </c>
      <c r="B6" s="40">
        <v>139.91</v>
      </c>
      <c r="C6" s="40">
        <v>147.55</v>
      </c>
      <c r="D6" s="40">
        <v>138.56</v>
      </c>
      <c r="E6" s="40">
        <v>146.32</v>
      </c>
      <c r="F6" s="40">
        <v>146.32</v>
      </c>
      <c r="G6" s="41">
        <v>4.56944E7</v>
      </c>
    </row>
    <row r="7">
      <c r="A7" s="36">
        <v>46027.0</v>
      </c>
      <c r="B7" s="37">
        <v>141.66</v>
      </c>
      <c r="C7" s="37">
        <v>141.81</v>
      </c>
      <c r="D7" s="37">
        <v>136.01</v>
      </c>
      <c r="E7" s="37">
        <v>139.91</v>
      </c>
      <c r="F7" s="37">
        <v>139.91</v>
      </c>
      <c r="G7" s="38">
        <v>4.26781E7</v>
      </c>
    </row>
    <row r="8">
      <c r="A8" s="39">
        <v>46020.0</v>
      </c>
      <c r="B8" s="40">
        <v>143.74</v>
      </c>
      <c r="C8" s="40">
        <v>145.27</v>
      </c>
      <c r="D8" s="40">
        <v>142.1</v>
      </c>
      <c r="E8" s="40">
        <v>142.23</v>
      </c>
      <c r="F8" s="40">
        <v>142.23</v>
      </c>
      <c r="G8" s="41">
        <v>2.34781E7</v>
      </c>
    </row>
    <row r="9">
      <c r="A9" s="36">
        <v>46013.0</v>
      </c>
      <c r="B9" s="37">
        <v>147.53</v>
      </c>
      <c r="C9" s="37">
        <v>148.98</v>
      </c>
      <c r="D9" s="37">
        <v>142.95</v>
      </c>
      <c r="E9" s="37">
        <v>143.78</v>
      </c>
      <c r="F9" s="37">
        <v>143.78</v>
      </c>
      <c r="G9" s="38">
        <v>2.36677E7</v>
      </c>
    </row>
    <row r="10">
      <c r="A10" s="39">
        <v>46006.0</v>
      </c>
      <c r="B10" s="40">
        <v>150.94</v>
      </c>
      <c r="C10" s="40">
        <v>152.35</v>
      </c>
      <c r="D10" s="40">
        <v>147.9</v>
      </c>
      <c r="E10" s="40">
        <v>148.16</v>
      </c>
      <c r="F10" s="40">
        <v>148.16</v>
      </c>
      <c r="G10" s="41">
        <v>4.81837E7</v>
      </c>
    </row>
    <row r="11">
      <c r="A11" s="36">
        <v>45999.0</v>
      </c>
      <c r="B11" s="37">
        <v>145.01</v>
      </c>
      <c r="C11" s="37">
        <v>150.89</v>
      </c>
      <c r="D11" s="37">
        <v>143.91</v>
      </c>
      <c r="E11" s="37">
        <v>150.65</v>
      </c>
      <c r="F11" s="37">
        <v>150.65</v>
      </c>
      <c r="G11" s="38">
        <v>5.08861E7</v>
      </c>
    </row>
    <row r="12">
      <c r="A12" s="39">
        <v>45996.0</v>
      </c>
      <c r="B12" s="42" t="s">
        <v>10</v>
      </c>
      <c r="C12" s="20"/>
      <c r="D12" s="20"/>
      <c r="E12" s="20"/>
      <c r="F12" s="20"/>
      <c r="G12" s="21"/>
    </row>
    <row r="13">
      <c r="A13" s="36">
        <v>45992.0</v>
      </c>
      <c r="B13" s="37">
        <v>148.63</v>
      </c>
      <c r="C13" s="37">
        <v>150.7</v>
      </c>
      <c r="D13" s="37">
        <v>144.51</v>
      </c>
      <c r="E13" s="37">
        <v>145.02</v>
      </c>
      <c r="F13" s="37">
        <v>143.62</v>
      </c>
      <c r="G13" s="38">
        <v>3.23371E7</v>
      </c>
    </row>
    <row r="14">
      <c r="A14" s="39">
        <v>45985.0</v>
      </c>
      <c r="B14" s="40">
        <v>145.83</v>
      </c>
      <c r="C14" s="40">
        <v>148.82</v>
      </c>
      <c r="D14" s="40">
        <v>144.76</v>
      </c>
      <c r="E14" s="40">
        <v>148.74</v>
      </c>
      <c r="F14" s="40">
        <v>147.3</v>
      </c>
      <c r="G14" s="41">
        <v>2.64953E7</v>
      </c>
    </row>
    <row r="15">
      <c r="A15" s="36">
        <v>45978.0</v>
      </c>
      <c r="B15" s="37">
        <v>146.12</v>
      </c>
      <c r="C15" s="37">
        <v>149.83</v>
      </c>
      <c r="D15" s="37">
        <v>144.9</v>
      </c>
      <c r="E15" s="37">
        <v>146.33</v>
      </c>
      <c r="F15" s="37">
        <v>144.91</v>
      </c>
      <c r="G15" s="38">
        <v>4.10556E7</v>
      </c>
    </row>
    <row r="16">
      <c r="A16" s="39">
        <v>45971.0</v>
      </c>
      <c r="B16" s="40">
        <v>142.49</v>
      </c>
      <c r="C16" s="40">
        <v>146.84</v>
      </c>
      <c r="D16" s="40">
        <v>141.26</v>
      </c>
      <c r="E16" s="40">
        <v>145.85</v>
      </c>
      <c r="F16" s="40">
        <v>144.44</v>
      </c>
      <c r="G16" s="41">
        <v>3.2525E7</v>
      </c>
    </row>
    <row r="17">
      <c r="A17" s="36">
        <v>45964.0</v>
      </c>
      <c r="B17" s="37">
        <v>145.86</v>
      </c>
      <c r="C17" s="37">
        <v>145.91</v>
      </c>
      <c r="D17" s="37">
        <v>141.3</v>
      </c>
      <c r="E17" s="37">
        <v>142.95</v>
      </c>
      <c r="F17" s="37">
        <v>141.57</v>
      </c>
      <c r="G17" s="38">
        <v>3.78125E7</v>
      </c>
    </row>
    <row r="18">
      <c r="A18" s="39">
        <v>45957.0</v>
      </c>
      <c r="B18" s="40">
        <v>151.01</v>
      </c>
      <c r="C18" s="40">
        <v>153.21</v>
      </c>
      <c r="D18" s="40">
        <v>143.67</v>
      </c>
      <c r="E18" s="40">
        <v>146.09</v>
      </c>
      <c r="F18" s="40">
        <v>144.67</v>
      </c>
      <c r="G18" s="41">
        <v>3.0205E7</v>
      </c>
    </row>
    <row r="19">
      <c r="A19" s="36">
        <v>45950.0</v>
      </c>
      <c r="B19" s="37">
        <v>154.42</v>
      </c>
      <c r="C19" s="37">
        <v>155.19</v>
      </c>
      <c r="D19" s="37">
        <v>151.03</v>
      </c>
      <c r="E19" s="37">
        <v>151.55</v>
      </c>
      <c r="F19" s="37">
        <v>150.08</v>
      </c>
      <c r="G19" s="38">
        <v>2.65829E7</v>
      </c>
    </row>
    <row r="20">
      <c r="A20" s="39">
        <v>45943.0</v>
      </c>
      <c r="B20" s="40">
        <v>148.65</v>
      </c>
      <c r="C20" s="40">
        <v>154.38</v>
      </c>
      <c r="D20" s="40">
        <v>147.34</v>
      </c>
      <c r="E20" s="40">
        <v>153.71</v>
      </c>
      <c r="F20" s="40">
        <v>152.22</v>
      </c>
      <c r="G20" s="41">
        <v>3.69872E7</v>
      </c>
    </row>
    <row r="21">
      <c r="A21" s="36">
        <v>45936.0</v>
      </c>
      <c r="B21" s="37">
        <v>141.77</v>
      </c>
      <c r="C21" s="37">
        <v>150.82</v>
      </c>
      <c r="D21" s="37">
        <v>138.59</v>
      </c>
      <c r="E21" s="37">
        <v>150.08</v>
      </c>
      <c r="F21" s="37">
        <v>148.63</v>
      </c>
      <c r="G21" s="38">
        <v>5.23695E7</v>
      </c>
    </row>
    <row r="22">
      <c r="A22" s="39">
        <v>45929.0</v>
      </c>
      <c r="B22" s="40">
        <v>140.44</v>
      </c>
      <c r="C22" s="40">
        <v>143.37</v>
      </c>
      <c r="D22" s="40">
        <v>139.12</v>
      </c>
      <c r="E22" s="40">
        <v>141.98</v>
      </c>
      <c r="F22" s="40">
        <v>140.6</v>
      </c>
      <c r="G22" s="41">
        <v>3.53174E7</v>
      </c>
    </row>
    <row r="23">
      <c r="A23" s="36">
        <v>45922.0</v>
      </c>
      <c r="B23" s="37">
        <v>141.08</v>
      </c>
      <c r="C23" s="37">
        <v>143.42</v>
      </c>
      <c r="D23" s="37">
        <v>139.85</v>
      </c>
      <c r="E23" s="37">
        <v>140.44</v>
      </c>
      <c r="F23" s="37">
        <v>139.08</v>
      </c>
      <c r="G23" s="38">
        <v>3.14296E7</v>
      </c>
    </row>
    <row r="24">
      <c r="A24" s="39">
        <v>45915.0</v>
      </c>
      <c r="B24" s="40">
        <v>143.4</v>
      </c>
      <c r="C24" s="40">
        <v>143.53</v>
      </c>
      <c r="D24" s="40">
        <v>139.91</v>
      </c>
      <c r="E24" s="40">
        <v>141.76</v>
      </c>
      <c r="F24" s="40">
        <v>140.39</v>
      </c>
      <c r="G24" s="41">
        <v>4.11281E7</v>
      </c>
    </row>
    <row r="25">
      <c r="A25" s="36">
        <v>45908.0</v>
      </c>
      <c r="B25" s="37">
        <v>145.72</v>
      </c>
      <c r="C25" s="37">
        <v>145.72</v>
      </c>
      <c r="D25" s="37">
        <v>140.35</v>
      </c>
      <c r="E25" s="37">
        <v>143.53</v>
      </c>
      <c r="F25" s="37">
        <v>142.14</v>
      </c>
      <c r="G25" s="38">
        <v>3.48672E7</v>
      </c>
    </row>
    <row r="26">
      <c r="A26" s="39">
        <v>45905.0</v>
      </c>
      <c r="B26" s="42" t="s">
        <v>10</v>
      </c>
      <c r="C26" s="20"/>
      <c r="D26" s="20"/>
      <c r="E26" s="20"/>
      <c r="F26" s="20"/>
      <c r="G26" s="21"/>
    </row>
    <row r="27">
      <c r="A27" s="36">
        <v>45901.0</v>
      </c>
      <c r="B27" s="37">
        <v>157.44</v>
      </c>
      <c r="C27" s="37">
        <v>157.8</v>
      </c>
      <c r="D27" s="37">
        <v>145.28</v>
      </c>
      <c r="E27" s="37">
        <v>146.39</v>
      </c>
      <c r="F27" s="37">
        <v>143.57</v>
      </c>
      <c r="G27" s="38">
        <v>4.21363E7</v>
      </c>
    </row>
    <row r="28">
      <c r="A28" s="39">
        <v>45894.0</v>
      </c>
      <c r="B28" s="40">
        <v>148.43</v>
      </c>
      <c r="C28" s="40">
        <v>149.22</v>
      </c>
      <c r="D28" s="40">
        <v>145.81</v>
      </c>
      <c r="E28" s="40">
        <v>148.65</v>
      </c>
      <c r="F28" s="40">
        <v>145.78</v>
      </c>
      <c r="G28" s="41">
        <v>4.29511E7</v>
      </c>
    </row>
    <row r="29">
      <c r="A29" s="36">
        <v>45887.0</v>
      </c>
      <c r="B29" s="37">
        <v>150.55</v>
      </c>
      <c r="C29" s="37">
        <v>154.61</v>
      </c>
      <c r="D29" s="37">
        <v>148.6</v>
      </c>
      <c r="E29" s="37">
        <v>149.64</v>
      </c>
      <c r="F29" s="37">
        <v>146.75</v>
      </c>
      <c r="G29" s="38">
        <v>4.1893E7</v>
      </c>
    </row>
    <row r="30">
      <c r="A30" s="39">
        <v>45880.0</v>
      </c>
      <c r="B30" s="40">
        <v>145.32</v>
      </c>
      <c r="C30" s="40">
        <v>151.1</v>
      </c>
      <c r="D30" s="40">
        <v>143.75</v>
      </c>
      <c r="E30" s="40">
        <v>150.4</v>
      </c>
      <c r="F30" s="40">
        <v>147.5</v>
      </c>
      <c r="G30" s="41">
        <v>3.56438E7</v>
      </c>
    </row>
    <row r="31">
      <c r="A31" s="36">
        <v>45873.0</v>
      </c>
      <c r="B31" s="37">
        <v>139.29</v>
      </c>
      <c r="C31" s="37">
        <v>145.37</v>
      </c>
      <c r="D31" s="37">
        <v>138.75</v>
      </c>
      <c r="E31" s="37">
        <v>145.21</v>
      </c>
      <c r="F31" s="37">
        <v>142.41</v>
      </c>
      <c r="G31" s="38">
        <v>3.36569E7</v>
      </c>
    </row>
    <row r="32">
      <c r="A32" s="39">
        <v>45866.0</v>
      </c>
      <c r="B32" s="40">
        <v>142.7</v>
      </c>
      <c r="C32" s="40">
        <v>144.4</v>
      </c>
      <c r="D32" s="40">
        <v>137.64</v>
      </c>
      <c r="E32" s="40">
        <v>139.28</v>
      </c>
      <c r="F32" s="40">
        <v>136.59</v>
      </c>
      <c r="G32" s="41">
        <v>4.59806E7</v>
      </c>
    </row>
    <row r="33">
      <c r="A33" s="36">
        <v>45859.0</v>
      </c>
      <c r="B33" s="37">
        <v>143.1</v>
      </c>
      <c r="C33" s="37">
        <v>147.03</v>
      </c>
      <c r="D33" s="37">
        <v>140.46</v>
      </c>
      <c r="E33" s="37">
        <v>143.45</v>
      </c>
      <c r="F33" s="37">
        <v>140.68</v>
      </c>
      <c r="G33" s="38">
        <v>4.02441E7</v>
      </c>
    </row>
    <row r="34">
      <c r="A34" s="39">
        <v>45852.0</v>
      </c>
      <c r="B34" s="40">
        <v>134.75</v>
      </c>
      <c r="C34" s="40">
        <v>146.35</v>
      </c>
      <c r="D34" s="40">
        <v>133.75</v>
      </c>
      <c r="E34" s="40">
        <v>143.24</v>
      </c>
      <c r="F34" s="40">
        <v>140.48</v>
      </c>
      <c r="G34" s="41">
        <v>6.82692E7</v>
      </c>
    </row>
    <row r="35">
      <c r="A35" s="36">
        <v>45845.0</v>
      </c>
      <c r="B35" s="37">
        <v>135.53</v>
      </c>
      <c r="C35" s="37">
        <v>136.68</v>
      </c>
      <c r="D35" s="37">
        <v>132.96</v>
      </c>
      <c r="E35" s="37">
        <v>135.26</v>
      </c>
      <c r="F35" s="37">
        <v>132.65</v>
      </c>
      <c r="G35" s="38">
        <v>4.00879E7</v>
      </c>
    </row>
    <row r="36">
      <c r="A36" s="39">
        <v>45838.0</v>
      </c>
      <c r="B36" s="40">
        <v>131.2</v>
      </c>
      <c r="C36" s="40">
        <v>137.0</v>
      </c>
      <c r="D36" s="40">
        <v>130.59</v>
      </c>
      <c r="E36" s="40">
        <v>135.38</v>
      </c>
      <c r="F36" s="40">
        <v>132.77</v>
      </c>
      <c r="G36" s="41">
        <v>3.85792E7</v>
      </c>
    </row>
    <row r="37">
      <c r="A37" s="36">
        <v>45831.0</v>
      </c>
      <c r="B37" s="37">
        <v>129.29</v>
      </c>
      <c r="C37" s="37">
        <v>131.34</v>
      </c>
      <c r="D37" s="37">
        <v>127.6</v>
      </c>
      <c r="E37" s="37">
        <v>131.04</v>
      </c>
      <c r="F37" s="37">
        <v>128.51</v>
      </c>
      <c r="G37" s="38">
        <v>7.10644E7</v>
      </c>
    </row>
    <row r="38">
      <c r="A38" s="39">
        <v>45824.0</v>
      </c>
      <c r="B38" s="40">
        <v>131.31</v>
      </c>
      <c r="C38" s="40">
        <v>132.09</v>
      </c>
      <c r="D38" s="40">
        <v>128.59</v>
      </c>
      <c r="E38" s="40">
        <v>129.07</v>
      </c>
      <c r="F38" s="40">
        <v>126.58</v>
      </c>
      <c r="G38" s="41">
        <v>5.32057E7</v>
      </c>
    </row>
    <row r="39">
      <c r="A39" s="36">
        <v>45817.0</v>
      </c>
      <c r="B39" s="37">
        <v>129.83</v>
      </c>
      <c r="C39" s="37">
        <v>133.06</v>
      </c>
      <c r="D39" s="37">
        <v>129.18</v>
      </c>
      <c r="E39" s="37">
        <v>130.85</v>
      </c>
      <c r="F39" s="37">
        <v>128.33</v>
      </c>
      <c r="G39" s="38">
        <v>5.05003E7</v>
      </c>
    </row>
    <row r="40">
      <c r="A40" s="39">
        <v>45814.0</v>
      </c>
      <c r="B40" s="42" t="s">
        <v>10</v>
      </c>
      <c r="C40" s="20"/>
      <c r="D40" s="20"/>
      <c r="E40" s="20"/>
      <c r="F40" s="20"/>
      <c r="G40" s="21"/>
    </row>
    <row r="41">
      <c r="A41" s="36">
        <v>45810.0</v>
      </c>
      <c r="B41" s="37">
        <v>130.9</v>
      </c>
      <c r="C41" s="37">
        <v>132.74</v>
      </c>
      <c r="D41" s="37">
        <v>129.07</v>
      </c>
      <c r="E41" s="37">
        <v>130.03</v>
      </c>
      <c r="F41" s="37">
        <v>126.14</v>
      </c>
      <c r="G41" s="38">
        <v>3.77719E7</v>
      </c>
    </row>
    <row r="42">
      <c r="A42" s="39">
        <v>45803.0</v>
      </c>
      <c r="B42" s="40">
        <v>130.08</v>
      </c>
      <c r="C42" s="40">
        <v>132.72</v>
      </c>
      <c r="D42" s="40">
        <v>129.13</v>
      </c>
      <c r="E42" s="40">
        <v>131.45</v>
      </c>
      <c r="F42" s="40">
        <v>127.52</v>
      </c>
      <c r="G42" s="41">
        <v>4.30553E7</v>
      </c>
    </row>
    <row r="43">
      <c r="A43" s="36">
        <v>45796.0</v>
      </c>
      <c r="B43" s="37">
        <v>132.13</v>
      </c>
      <c r="C43" s="37">
        <v>132.26</v>
      </c>
      <c r="D43" s="37">
        <v>127.75</v>
      </c>
      <c r="E43" s="37">
        <v>129.34</v>
      </c>
      <c r="F43" s="37">
        <v>125.47</v>
      </c>
      <c r="G43" s="38">
        <v>4.15368E7</v>
      </c>
    </row>
    <row r="44">
      <c r="A44" s="39">
        <v>45789.0</v>
      </c>
      <c r="B44" s="40">
        <v>130.84</v>
      </c>
      <c r="C44" s="40">
        <v>132.33</v>
      </c>
      <c r="D44" s="40">
        <v>127.87</v>
      </c>
      <c r="E44" s="40">
        <v>131.98</v>
      </c>
      <c r="F44" s="40">
        <v>128.03</v>
      </c>
      <c r="G44" s="41">
        <v>4.55674E7</v>
      </c>
    </row>
    <row r="45">
      <c r="A45" s="36">
        <v>45782.0</v>
      </c>
      <c r="B45" s="37">
        <v>134.04</v>
      </c>
      <c r="C45" s="37">
        <v>134.04</v>
      </c>
      <c r="D45" s="37">
        <v>130.16</v>
      </c>
      <c r="E45" s="37">
        <v>130.44</v>
      </c>
      <c r="F45" s="37">
        <v>126.54</v>
      </c>
      <c r="G45" s="38">
        <v>3.33382E7</v>
      </c>
    </row>
    <row r="46">
      <c r="A46" s="39">
        <v>45775.0</v>
      </c>
      <c r="B46" s="40">
        <v>133.9</v>
      </c>
      <c r="C46" s="40">
        <v>136.18</v>
      </c>
      <c r="D46" s="40">
        <v>131.52</v>
      </c>
      <c r="E46" s="40">
        <v>133.75</v>
      </c>
      <c r="F46" s="40">
        <v>129.75</v>
      </c>
      <c r="G46" s="41">
        <v>3.74095E7</v>
      </c>
    </row>
    <row r="47">
      <c r="A47" s="36">
        <v>45768.0</v>
      </c>
      <c r="B47" s="37">
        <v>142.5</v>
      </c>
      <c r="C47" s="37">
        <v>144.28</v>
      </c>
      <c r="D47" s="37">
        <v>131.8</v>
      </c>
      <c r="E47" s="37">
        <v>133.38</v>
      </c>
      <c r="F47" s="37">
        <v>129.39</v>
      </c>
      <c r="G47" s="38">
        <v>4.94395E7</v>
      </c>
    </row>
    <row r="48">
      <c r="A48" s="39">
        <v>45761.0</v>
      </c>
      <c r="B48" s="40">
        <v>144.16</v>
      </c>
      <c r="C48" s="40">
        <v>147.18</v>
      </c>
      <c r="D48" s="40">
        <v>139.77</v>
      </c>
      <c r="E48" s="40">
        <v>142.84</v>
      </c>
      <c r="F48" s="40">
        <v>138.57</v>
      </c>
      <c r="G48" s="41">
        <v>2.48634E7</v>
      </c>
    </row>
    <row r="49">
      <c r="A49" s="36">
        <v>45754.0</v>
      </c>
      <c r="B49" s="37">
        <v>141.32</v>
      </c>
      <c r="C49" s="37">
        <v>147.14</v>
      </c>
      <c r="D49" s="37">
        <v>138.33</v>
      </c>
      <c r="E49" s="37">
        <v>144.43</v>
      </c>
      <c r="F49" s="37">
        <v>140.11</v>
      </c>
      <c r="G49" s="38">
        <v>5.75227E7</v>
      </c>
    </row>
    <row r="50">
      <c r="A50" s="39">
        <v>45747.0</v>
      </c>
      <c r="B50" s="40">
        <v>150.2</v>
      </c>
      <c r="C50" s="40">
        <v>154.92</v>
      </c>
      <c r="D50" s="40">
        <v>146.44</v>
      </c>
      <c r="E50" s="40">
        <v>146.61</v>
      </c>
      <c r="F50" s="40">
        <v>142.22</v>
      </c>
      <c r="G50" s="41">
        <v>4.30523E7</v>
      </c>
    </row>
    <row r="51">
      <c r="A51" s="36">
        <v>45740.0</v>
      </c>
      <c r="B51" s="37">
        <v>145.49</v>
      </c>
      <c r="C51" s="37">
        <v>151.38</v>
      </c>
      <c r="D51" s="37">
        <v>144.83</v>
      </c>
      <c r="E51" s="37">
        <v>149.27</v>
      </c>
      <c r="F51" s="37">
        <v>144.8</v>
      </c>
      <c r="G51" s="38">
        <v>3.05628E7</v>
      </c>
    </row>
    <row r="52">
      <c r="A52" s="39">
        <v>45733.0</v>
      </c>
      <c r="B52" s="40">
        <v>149.23</v>
      </c>
      <c r="C52" s="40">
        <v>151.67</v>
      </c>
      <c r="D52" s="40">
        <v>144.75</v>
      </c>
      <c r="E52" s="40">
        <v>145.45</v>
      </c>
      <c r="F52" s="40">
        <v>141.1</v>
      </c>
      <c r="G52" s="41">
        <v>3.57994E7</v>
      </c>
    </row>
    <row r="53">
      <c r="A53" s="36">
        <v>45726.0</v>
      </c>
      <c r="B53" s="37">
        <v>155.88</v>
      </c>
      <c r="C53" s="37">
        <v>160.08</v>
      </c>
      <c r="D53" s="37">
        <v>146.51</v>
      </c>
      <c r="E53" s="37">
        <v>148.59</v>
      </c>
      <c r="F53" s="37">
        <v>144.14</v>
      </c>
      <c r="G53" s="38">
        <v>3.80973E7</v>
      </c>
    </row>
    <row r="54">
      <c r="A54" s="39">
        <v>45723.0</v>
      </c>
      <c r="B54" s="42" t="s">
        <v>11</v>
      </c>
      <c r="C54" s="20"/>
      <c r="D54" s="20"/>
      <c r="E54" s="20"/>
      <c r="F54" s="20"/>
      <c r="G54" s="21"/>
    </row>
    <row r="55">
      <c r="A55" s="36">
        <v>45719.0</v>
      </c>
      <c r="B55" s="37">
        <v>151.35</v>
      </c>
      <c r="C55" s="37">
        <v>160.15</v>
      </c>
      <c r="D55" s="37">
        <v>150.5</v>
      </c>
      <c r="E55" s="37">
        <v>154.44</v>
      </c>
      <c r="F55" s="37">
        <v>148.51</v>
      </c>
      <c r="G55" s="38">
        <v>4.15933E7</v>
      </c>
    </row>
    <row r="56">
      <c r="A56" s="39">
        <v>45712.0</v>
      </c>
      <c r="B56" s="40">
        <v>152.34</v>
      </c>
      <c r="C56" s="40">
        <v>158.46</v>
      </c>
      <c r="D56" s="40">
        <v>149.93</v>
      </c>
      <c r="E56" s="40">
        <v>153.47</v>
      </c>
      <c r="F56" s="40">
        <v>147.57</v>
      </c>
      <c r="G56" s="41">
        <v>4.09246E7</v>
      </c>
    </row>
    <row r="57">
      <c r="A57" s="36">
        <v>45705.0</v>
      </c>
      <c r="B57" s="37">
        <v>142.9</v>
      </c>
      <c r="C57" s="37">
        <v>154.55</v>
      </c>
      <c r="D57" s="37">
        <v>141.6</v>
      </c>
      <c r="E57" s="37">
        <v>153.5</v>
      </c>
      <c r="F57" s="37">
        <v>147.6</v>
      </c>
      <c r="G57" s="38">
        <v>3.19102E7</v>
      </c>
    </row>
    <row r="58">
      <c r="A58" s="39">
        <v>45698.0</v>
      </c>
      <c r="B58" s="40">
        <v>144.35</v>
      </c>
      <c r="C58" s="40">
        <v>146.17</v>
      </c>
      <c r="D58" s="40">
        <v>143.01</v>
      </c>
      <c r="E58" s="40">
        <v>143.39</v>
      </c>
      <c r="F58" s="40">
        <v>137.88</v>
      </c>
      <c r="G58" s="41">
        <v>3.39047E7</v>
      </c>
    </row>
    <row r="59">
      <c r="A59" s="43">
        <v>45691.0</v>
      </c>
      <c r="B59" s="44">
        <v>149.76</v>
      </c>
      <c r="C59" s="44">
        <v>151.13</v>
      </c>
      <c r="D59" s="44">
        <v>142.7</v>
      </c>
      <c r="E59" s="44">
        <v>144.58</v>
      </c>
      <c r="F59" s="44">
        <v>139.02</v>
      </c>
      <c r="G59" s="45">
        <v>4.07264E7</v>
      </c>
    </row>
  </sheetData>
  <mergeCells count="4">
    <mergeCell ref="B12:G12"/>
    <mergeCell ref="B26:G26"/>
    <mergeCell ref="B40:G40"/>
    <mergeCell ref="B54:G5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1</v>
      </c>
      <c r="B1" s="46" t="s">
        <v>1</v>
      </c>
      <c r="C1" s="47"/>
      <c r="D1" s="47"/>
      <c r="E1" s="48" t="s">
        <v>12</v>
      </c>
      <c r="F1" s="47"/>
      <c r="G1" s="47"/>
      <c r="H1" s="49" t="s">
        <v>13</v>
      </c>
    </row>
    <row r="2">
      <c r="C2" s="9" t="s">
        <v>6</v>
      </c>
      <c r="D2" s="50" t="s">
        <v>6</v>
      </c>
      <c r="F2" s="51" t="s">
        <v>14</v>
      </c>
      <c r="G2" s="51" t="s">
        <v>15</v>
      </c>
      <c r="H2" s="51" t="s">
        <v>15</v>
      </c>
    </row>
    <row r="3">
      <c r="A3" s="52">
        <v>46055.0</v>
      </c>
      <c r="B3" s="53">
        <v>46055.0</v>
      </c>
      <c r="C3" s="14">
        <v>75.33</v>
      </c>
      <c r="D3" s="54">
        <v>155.2</v>
      </c>
      <c r="F3" s="55">
        <f t="shared" ref="F3:G3" si="1">(C3-C4)/C4</f>
        <v>0.006950942387</v>
      </c>
      <c r="G3" s="55">
        <f t="shared" si="1"/>
        <v>0.0102193582</v>
      </c>
    </row>
    <row r="4">
      <c r="A4" s="56">
        <v>46048.0</v>
      </c>
      <c r="B4" s="57">
        <v>46048.0</v>
      </c>
      <c r="C4" s="17">
        <v>74.81</v>
      </c>
      <c r="D4" s="58">
        <v>153.63</v>
      </c>
      <c r="F4" s="55">
        <f t="shared" ref="F4:G4" si="2">(C4-C5)/C5</f>
        <v>0.02648188804</v>
      </c>
      <c r="G4" s="55">
        <f t="shared" si="2"/>
        <v>0.06259510306</v>
      </c>
      <c r="H4" s="55">
        <f t="shared" ref="H4:H11" si="4">D3/D4-1</f>
        <v>0.0102193582</v>
      </c>
    </row>
    <row r="5">
      <c r="A5" s="52">
        <v>46041.0</v>
      </c>
      <c r="B5" s="53">
        <v>46041.0</v>
      </c>
      <c r="C5" s="14">
        <v>72.88</v>
      </c>
      <c r="D5" s="54">
        <v>144.58</v>
      </c>
      <c r="F5" s="55">
        <f t="shared" ref="F5:G5" si="3">(C5-C6)/C6</f>
        <v>0.03463940943</v>
      </c>
      <c r="G5" s="55">
        <f t="shared" si="3"/>
        <v>-0.01189174412</v>
      </c>
      <c r="H5" s="55">
        <f t="shared" si="4"/>
        <v>0.06259510306</v>
      </c>
    </row>
    <row r="6">
      <c r="A6" s="56">
        <v>46034.0</v>
      </c>
      <c r="B6" s="57">
        <v>46034.0</v>
      </c>
      <c r="C6" s="17">
        <v>70.44</v>
      </c>
      <c r="D6" s="58">
        <v>146.32</v>
      </c>
      <c r="F6" s="55">
        <f t="shared" ref="F6:G6" si="5">(C6-C7)/C7</f>
        <v>-0.0009927669834</v>
      </c>
      <c r="G6" s="55">
        <f t="shared" si="5"/>
        <v>0.04581516689</v>
      </c>
      <c r="H6" s="55">
        <f t="shared" si="4"/>
        <v>-0.01189174412</v>
      </c>
    </row>
    <row r="7">
      <c r="A7" s="52">
        <v>46027.0</v>
      </c>
      <c r="B7" s="53">
        <v>46027.0</v>
      </c>
      <c r="C7" s="14">
        <v>70.51</v>
      </c>
      <c r="D7" s="54">
        <v>139.91</v>
      </c>
      <c r="F7" s="55">
        <f t="shared" ref="F7:G7" si="6">(C7-C8)/C8</f>
        <v>0.0201099537</v>
      </c>
      <c r="G7" s="55">
        <f t="shared" si="6"/>
        <v>-0.01631160796</v>
      </c>
      <c r="H7" s="55">
        <f t="shared" si="4"/>
        <v>0.04581516689</v>
      </c>
    </row>
    <row r="8">
      <c r="A8" s="56">
        <v>46020.0</v>
      </c>
      <c r="B8" s="57">
        <v>46020.0</v>
      </c>
      <c r="C8" s="17">
        <v>69.12</v>
      </c>
      <c r="D8" s="58">
        <v>142.23</v>
      </c>
      <c r="F8" s="55">
        <f t="shared" ref="F8:G8" si="7">(C8-C9)/C9</f>
        <v>-0.0107342207</v>
      </c>
      <c r="G8" s="55">
        <f t="shared" si="7"/>
        <v>-0.01078035888</v>
      </c>
      <c r="H8" s="55">
        <f t="shared" si="4"/>
        <v>-0.01631160796</v>
      </c>
    </row>
    <row r="9">
      <c r="A9" s="52">
        <v>46013.0</v>
      </c>
      <c r="B9" s="53">
        <v>46013.0</v>
      </c>
      <c r="C9" s="14">
        <v>69.87</v>
      </c>
      <c r="D9" s="54">
        <v>143.78</v>
      </c>
      <c r="F9" s="55">
        <f t="shared" ref="F9:G9" si="8">(C9-C10)/C10</f>
        <v>-0.002711961176</v>
      </c>
      <c r="G9" s="55">
        <f t="shared" si="8"/>
        <v>-0.02956263499</v>
      </c>
      <c r="H9" s="55">
        <f t="shared" si="4"/>
        <v>-0.01078035888</v>
      </c>
    </row>
    <row r="10">
      <c r="A10" s="56">
        <v>46006.0</v>
      </c>
      <c r="B10" s="57">
        <v>46006.0</v>
      </c>
      <c r="C10" s="17">
        <v>70.06</v>
      </c>
      <c r="D10" s="58">
        <v>148.16</v>
      </c>
      <c r="F10" s="55">
        <f t="shared" ref="F10:G10" si="9">(C10-C11)/C11</f>
        <v>-0.006522972206</v>
      </c>
      <c r="G10" s="55">
        <f t="shared" si="9"/>
        <v>-0.01652837703</v>
      </c>
      <c r="H10" s="55">
        <f t="shared" si="4"/>
        <v>-0.02956263499</v>
      </c>
    </row>
    <row r="11">
      <c r="A11" s="52">
        <v>45999.0</v>
      </c>
      <c r="B11" s="53">
        <v>45999.0</v>
      </c>
      <c r="C11" s="14">
        <v>70.52</v>
      </c>
      <c r="D11" s="54">
        <v>150.65</v>
      </c>
      <c r="F11" s="55"/>
      <c r="G11" s="55"/>
      <c r="H11" s="55">
        <f t="shared" si="4"/>
        <v>-0.01652837703</v>
      </c>
    </row>
    <row r="12">
      <c r="A12" s="56">
        <v>45992.0</v>
      </c>
      <c r="B12" s="57">
        <v>45996.0</v>
      </c>
      <c r="F12" s="55"/>
      <c r="G12" s="55"/>
      <c r="H12" s="55"/>
    </row>
    <row r="13">
      <c r="A13" s="52">
        <v>45992.0</v>
      </c>
      <c r="B13" s="53">
        <v>45992.0</v>
      </c>
      <c r="C13" s="14">
        <v>69.51</v>
      </c>
      <c r="D13" s="54">
        <v>143.62</v>
      </c>
      <c r="F13" s="55">
        <f t="shared" ref="F13:G13" si="10">(C13-C14)/C14</f>
        <v>-0.04269384382</v>
      </c>
      <c r="G13" s="55">
        <f t="shared" si="10"/>
        <v>-0.02498302783</v>
      </c>
      <c r="H13" s="55"/>
    </row>
    <row r="14">
      <c r="A14" s="56">
        <v>45985.0</v>
      </c>
      <c r="B14" s="57">
        <v>45985.0</v>
      </c>
      <c r="C14" s="17">
        <v>72.61</v>
      </c>
      <c r="D14" s="58">
        <v>147.3</v>
      </c>
      <c r="F14" s="55">
        <f t="shared" ref="F14:G14" si="11">(C14-C15)/C15</f>
        <v>0.00234676974</v>
      </c>
      <c r="G14" s="55">
        <f t="shared" si="11"/>
        <v>0.01649299565</v>
      </c>
      <c r="H14" s="55">
        <f t="shared" ref="H14:H25" si="13">D13/D14-1</f>
        <v>-0.02498302783</v>
      </c>
    </row>
    <row r="15">
      <c r="A15" s="52">
        <v>45978.0</v>
      </c>
      <c r="B15" s="53">
        <v>45978.0</v>
      </c>
      <c r="C15" s="14">
        <v>72.44</v>
      </c>
      <c r="D15" s="54">
        <v>144.91</v>
      </c>
      <c r="F15" s="55">
        <f t="shared" ref="F15:G15" si="12">(C15-C16)/C16</f>
        <v>0.02519105576</v>
      </c>
      <c r="G15" s="55">
        <f t="shared" si="12"/>
        <v>0.003253946275</v>
      </c>
      <c r="H15" s="55">
        <f t="shared" si="13"/>
        <v>0.01649299565</v>
      </c>
    </row>
    <row r="16">
      <c r="A16" s="56">
        <v>45971.0</v>
      </c>
      <c r="B16" s="57">
        <v>45971.0</v>
      </c>
      <c r="C16" s="17">
        <v>70.66</v>
      </c>
      <c r="D16" s="58">
        <v>144.44</v>
      </c>
      <c r="F16" s="55">
        <f t="shared" ref="F16:G16" si="14">(C16-C17)/C17</f>
        <v>0.008564087925</v>
      </c>
      <c r="G16" s="55">
        <f t="shared" si="14"/>
        <v>0.02027265664</v>
      </c>
      <c r="H16" s="55">
        <f t="shared" si="13"/>
        <v>0.003253946275</v>
      </c>
    </row>
    <row r="17">
      <c r="A17" s="52">
        <v>45964.0</v>
      </c>
      <c r="B17" s="53">
        <v>45964.0</v>
      </c>
      <c r="C17" s="14">
        <v>70.06</v>
      </c>
      <c r="D17" s="54">
        <v>141.57</v>
      </c>
      <c r="F17" s="55">
        <f t="shared" ref="F17:G17" si="15">(C17-C18)/C18</f>
        <v>0.02396959953</v>
      </c>
      <c r="G17" s="55">
        <f t="shared" si="15"/>
        <v>-0.02142807769</v>
      </c>
      <c r="H17" s="55">
        <f t="shared" si="13"/>
        <v>0.02027265664</v>
      </c>
    </row>
    <row r="18">
      <c r="A18" s="56">
        <v>45957.0</v>
      </c>
      <c r="B18" s="57">
        <v>45957.0</v>
      </c>
      <c r="C18" s="17">
        <v>68.42</v>
      </c>
      <c r="D18" s="58">
        <v>144.67</v>
      </c>
      <c r="F18" s="55">
        <f t="shared" ref="F18:G18" si="16">(C18-C19)/C19</f>
        <v>-0.01155735337</v>
      </c>
      <c r="G18" s="55">
        <f t="shared" si="16"/>
        <v>-0.03604744136</v>
      </c>
      <c r="H18" s="55">
        <f t="shared" si="13"/>
        <v>-0.02142807769</v>
      </c>
    </row>
    <row r="19">
      <c r="A19" s="52">
        <v>45950.0</v>
      </c>
      <c r="B19" s="53">
        <v>45950.0</v>
      </c>
      <c r="C19" s="14">
        <v>69.22</v>
      </c>
      <c r="D19" s="54">
        <v>150.08</v>
      </c>
      <c r="F19" s="55">
        <f t="shared" ref="F19:G19" si="17">(C19-C20)/C20</f>
        <v>0.01854031783</v>
      </c>
      <c r="G19" s="55">
        <f t="shared" si="17"/>
        <v>-0.0140585994</v>
      </c>
      <c r="H19" s="55">
        <f t="shared" si="13"/>
        <v>-0.03604744136</v>
      </c>
    </row>
    <row r="20">
      <c r="A20" s="56">
        <v>45943.0</v>
      </c>
      <c r="B20" s="57">
        <v>45943.0</v>
      </c>
      <c r="C20" s="17">
        <v>67.96</v>
      </c>
      <c r="D20" s="58">
        <v>152.22</v>
      </c>
      <c r="F20" s="55">
        <f t="shared" ref="F20:G20" si="18">(C20-C21)/C21</f>
        <v>0.0208802764</v>
      </c>
      <c r="G20" s="55">
        <f t="shared" si="18"/>
        <v>0.02415393931</v>
      </c>
      <c r="H20" s="55">
        <f t="shared" si="13"/>
        <v>-0.0140585994</v>
      </c>
    </row>
    <row r="21">
      <c r="A21" s="52">
        <v>45936.0</v>
      </c>
      <c r="B21" s="53">
        <v>45936.0</v>
      </c>
      <c r="C21" s="14">
        <v>66.57</v>
      </c>
      <c r="D21" s="54">
        <v>148.63</v>
      </c>
      <c r="F21" s="55">
        <f t="shared" ref="F21:G21" si="19">(C21-C22)/C22</f>
        <v>0.005741048497</v>
      </c>
      <c r="G21" s="55">
        <f t="shared" si="19"/>
        <v>0.05711237553</v>
      </c>
      <c r="H21" s="55">
        <f t="shared" si="13"/>
        <v>0.02415393931</v>
      </c>
    </row>
    <row r="22">
      <c r="A22" s="56">
        <v>45929.0</v>
      </c>
      <c r="B22" s="57">
        <v>45929.0</v>
      </c>
      <c r="C22" s="17">
        <v>66.19</v>
      </c>
      <c r="D22" s="58">
        <v>140.6</v>
      </c>
      <c r="F22" s="55">
        <f t="shared" ref="F22:G22" si="20">(C22-C23)/C23</f>
        <v>0.01502836988</v>
      </c>
      <c r="G22" s="55">
        <f t="shared" si="20"/>
        <v>0.01092896175</v>
      </c>
      <c r="H22" s="55">
        <f t="shared" si="13"/>
        <v>0.05711237553</v>
      </c>
    </row>
    <row r="23">
      <c r="A23" s="52">
        <v>45922.0</v>
      </c>
      <c r="B23" s="53">
        <v>45922.0</v>
      </c>
      <c r="C23" s="14">
        <v>65.21</v>
      </c>
      <c r="D23" s="54">
        <v>139.08</v>
      </c>
      <c r="F23" s="55"/>
      <c r="G23" s="55">
        <f t="shared" ref="G23:G24" si="21">(D23-D24)/D24</f>
        <v>-0.009331148942</v>
      </c>
      <c r="H23" s="55">
        <f t="shared" si="13"/>
        <v>0.01092896175</v>
      </c>
    </row>
    <row r="24">
      <c r="A24" s="56">
        <v>45915.0</v>
      </c>
      <c r="B24" s="57">
        <v>45915.0</v>
      </c>
      <c r="D24" s="58">
        <v>140.39</v>
      </c>
      <c r="F24" s="55"/>
      <c r="G24" s="55">
        <f t="shared" si="21"/>
        <v>-0.01231180526</v>
      </c>
      <c r="H24" s="55">
        <f t="shared" si="13"/>
        <v>-0.009331148942</v>
      </c>
    </row>
    <row r="25">
      <c r="A25" s="52">
        <v>45915.0</v>
      </c>
      <c r="B25" s="53">
        <v>45908.0</v>
      </c>
      <c r="C25" s="14">
        <v>65.46</v>
      </c>
      <c r="D25" s="54">
        <v>142.14</v>
      </c>
      <c r="F25" s="55">
        <f t="shared" ref="F25:F37" si="22">(C25-C26)/C26</f>
        <v>-0.008782556027</v>
      </c>
      <c r="G25" s="55"/>
      <c r="H25" s="55">
        <f t="shared" si="13"/>
        <v>-0.01231180526</v>
      </c>
    </row>
    <row r="26">
      <c r="A26" s="56">
        <v>45908.0</v>
      </c>
      <c r="B26" s="57">
        <v>45905.0</v>
      </c>
      <c r="C26" s="17">
        <v>66.04</v>
      </c>
      <c r="F26" s="55">
        <f t="shared" si="22"/>
        <v>-0.01388681499</v>
      </c>
      <c r="G26" s="55"/>
      <c r="H26" s="55"/>
    </row>
    <row r="27">
      <c r="A27" s="52">
        <v>45901.0</v>
      </c>
      <c r="B27" s="53">
        <v>45901.0</v>
      </c>
      <c r="C27" s="14">
        <v>66.97</v>
      </c>
      <c r="D27" s="54">
        <v>143.57</v>
      </c>
      <c r="F27" s="55">
        <f t="shared" si="22"/>
        <v>-0.01500220621</v>
      </c>
      <c r="G27" s="55">
        <f t="shared" ref="G27:G38" si="23">(D27-D28)/D28</f>
        <v>-0.01515982988</v>
      </c>
      <c r="H27" s="55"/>
    </row>
    <row r="28">
      <c r="A28" s="56">
        <v>45894.0</v>
      </c>
      <c r="B28" s="57">
        <v>45894.0</v>
      </c>
      <c r="C28" s="17">
        <v>67.99</v>
      </c>
      <c r="D28" s="58">
        <v>145.78</v>
      </c>
      <c r="F28" s="55">
        <f t="shared" si="22"/>
        <v>-0.01620604833</v>
      </c>
      <c r="G28" s="55">
        <f t="shared" si="23"/>
        <v>-0.00660988075</v>
      </c>
      <c r="H28" s="55">
        <f t="shared" ref="H28:H39" si="24">D27/D28-1</f>
        <v>-0.01515982988</v>
      </c>
    </row>
    <row r="29">
      <c r="A29" s="52">
        <v>45887.0</v>
      </c>
      <c r="B29" s="53">
        <v>45887.0</v>
      </c>
      <c r="C29" s="14">
        <v>69.11</v>
      </c>
      <c r="D29" s="54">
        <v>146.75</v>
      </c>
      <c r="F29" s="55">
        <f t="shared" si="22"/>
        <v>0.003047895501</v>
      </c>
      <c r="G29" s="55">
        <f t="shared" si="23"/>
        <v>-0.005084745763</v>
      </c>
      <c r="H29" s="55">
        <f t="shared" si="24"/>
        <v>-0.00660988075</v>
      </c>
    </row>
    <row r="30">
      <c r="A30" s="56">
        <v>45880.0</v>
      </c>
      <c r="B30" s="57">
        <v>45880.0</v>
      </c>
      <c r="C30" s="17">
        <v>68.9</v>
      </c>
      <c r="D30" s="58">
        <v>147.5</v>
      </c>
      <c r="F30" s="55">
        <f t="shared" si="22"/>
        <v>-0.006058857473</v>
      </c>
      <c r="G30" s="55">
        <f t="shared" si="23"/>
        <v>0.03574187206</v>
      </c>
      <c r="H30" s="55">
        <f t="shared" si="24"/>
        <v>-0.005084745763</v>
      </c>
    </row>
    <row r="31">
      <c r="A31" s="52">
        <v>45873.0</v>
      </c>
      <c r="B31" s="53">
        <v>45873.0</v>
      </c>
      <c r="C31" s="14">
        <v>69.32</v>
      </c>
      <c r="D31" s="54">
        <v>142.41</v>
      </c>
      <c r="F31" s="55">
        <f t="shared" si="22"/>
        <v>0.02151488358</v>
      </c>
      <c r="G31" s="55">
        <f t="shared" si="23"/>
        <v>0.04260926861</v>
      </c>
      <c r="H31" s="55">
        <f t="shared" si="24"/>
        <v>0.03574187206</v>
      </c>
    </row>
    <row r="32">
      <c r="A32" s="56">
        <v>45866.0</v>
      </c>
      <c r="B32" s="57">
        <v>45866.0</v>
      </c>
      <c r="C32" s="17">
        <v>67.86</v>
      </c>
      <c r="D32" s="58">
        <v>136.59</v>
      </c>
      <c r="F32" s="55">
        <f t="shared" si="22"/>
        <v>-0.004401408451</v>
      </c>
      <c r="G32" s="55">
        <f t="shared" si="23"/>
        <v>-0.02907307364</v>
      </c>
      <c r="H32" s="55">
        <f t="shared" si="24"/>
        <v>0.04260926861</v>
      </c>
    </row>
    <row r="33">
      <c r="A33" s="52">
        <v>45859.0</v>
      </c>
      <c r="B33" s="53">
        <v>45859.0</v>
      </c>
      <c r="C33" s="14">
        <v>68.16</v>
      </c>
      <c r="D33" s="54">
        <v>140.68</v>
      </c>
      <c r="F33" s="55">
        <f t="shared" si="22"/>
        <v>-0.009734127561</v>
      </c>
      <c r="G33" s="55">
        <f t="shared" si="23"/>
        <v>0.001423690205</v>
      </c>
      <c r="H33" s="55">
        <f t="shared" si="24"/>
        <v>-0.02907307364</v>
      </c>
    </row>
    <row r="34">
      <c r="A34" s="56">
        <v>45852.0</v>
      </c>
      <c r="B34" s="57">
        <v>45852.0</v>
      </c>
      <c r="C34" s="17">
        <v>68.83</v>
      </c>
      <c r="D34" s="58">
        <v>140.48</v>
      </c>
      <c r="F34" s="55">
        <f t="shared" si="22"/>
        <v>-0.000290486565</v>
      </c>
      <c r="G34" s="55">
        <f t="shared" si="23"/>
        <v>0.05902751602</v>
      </c>
      <c r="H34" s="55">
        <f t="shared" si="24"/>
        <v>0.001423690205</v>
      </c>
    </row>
    <row r="35">
      <c r="A35" s="52">
        <v>45845.0</v>
      </c>
      <c r="B35" s="53">
        <v>45845.0</v>
      </c>
      <c r="C35" s="14">
        <v>68.85</v>
      </c>
      <c r="D35" s="54">
        <v>132.65</v>
      </c>
      <c r="F35" s="55">
        <f t="shared" si="22"/>
        <v>-0.02076518276</v>
      </c>
      <c r="G35" s="55">
        <f t="shared" si="23"/>
        <v>-0.0009038186337</v>
      </c>
      <c r="H35" s="55">
        <f t="shared" si="24"/>
        <v>0.05902751602</v>
      </c>
    </row>
    <row r="36">
      <c r="A36" s="56">
        <v>45838.0</v>
      </c>
      <c r="B36" s="57">
        <v>45838.0</v>
      </c>
      <c r="C36" s="17">
        <v>70.31</v>
      </c>
      <c r="D36" s="58">
        <v>132.77</v>
      </c>
      <c r="F36" s="55">
        <f t="shared" si="22"/>
        <v>0.01442793248</v>
      </c>
      <c r="G36" s="55">
        <f t="shared" si="23"/>
        <v>0.03314917127</v>
      </c>
      <c r="H36" s="55">
        <f t="shared" si="24"/>
        <v>-0.0009038186337</v>
      </c>
    </row>
    <row r="37">
      <c r="A37" s="52">
        <v>45831.0</v>
      </c>
      <c r="B37" s="53">
        <v>45831.0</v>
      </c>
      <c r="C37" s="14">
        <v>69.31</v>
      </c>
      <c r="D37" s="54">
        <v>128.51</v>
      </c>
      <c r="F37" s="55">
        <f t="shared" si="22"/>
        <v>0.02166863208</v>
      </c>
      <c r="G37" s="55">
        <f t="shared" si="23"/>
        <v>0.01524727445</v>
      </c>
      <c r="H37" s="55">
        <f t="shared" si="24"/>
        <v>0.03314917127</v>
      </c>
    </row>
    <row r="38">
      <c r="A38" s="56">
        <v>45824.0</v>
      </c>
      <c r="B38" s="57">
        <v>45824.0</v>
      </c>
      <c r="C38" s="17">
        <v>67.84</v>
      </c>
      <c r="D38" s="58">
        <v>126.58</v>
      </c>
      <c r="F38" s="55"/>
      <c r="G38" s="55">
        <f t="shared" si="23"/>
        <v>-0.01363671784</v>
      </c>
      <c r="H38" s="55">
        <f t="shared" si="24"/>
        <v>0.01524727445</v>
      </c>
    </row>
    <row r="39">
      <c r="A39" s="52">
        <v>45821.0</v>
      </c>
      <c r="B39" s="53">
        <v>45817.0</v>
      </c>
      <c r="D39" s="54">
        <v>128.33</v>
      </c>
      <c r="F39" s="55"/>
      <c r="G39" s="55"/>
      <c r="H39" s="55">
        <f t="shared" si="24"/>
        <v>-0.01363671784</v>
      </c>
    </row>
    <row r="40">
      <c r="A40" s="56">
        <v>45817.0</v>
      </c>
      <c r="B40" s="57">
        <v>45814.0</v>
      </c>
      <c r="C40" s="17">
        <v>69.49</v>
      </c>
      <c r="F40" s="55">
        <f t="shared" ref="F40:F51" si="25">(C40-C41)/C41</f>
        <v>-0.004726439416</v>
      </c>
      <c r="G40" s="55"/>
      <c r="H40" s="55"/>
    </row>
    <row r="41">
      <c r="A41" s="52">
        <v>45810.0</v>
      </c>
      <c r="B41" s="53">
        <v>45810.0</v>
      </c>
      <c r="C41" s="14">
        <v>69.82</v>
      </c>
      <c r="D41" s="54">
        <v>126.14</v>
      </c>
      <c r="F41" s="55">
        <f t="shared" si="25"/>
        <v>-0.01034727144</v>
      </c>
      <c r="G41" s="55">
        <f t="shared" ref="G41:G52" si="26">(D41-D42)/D42</f>
        <v>-0.01082183187</v>
      </c>
      <c r="H41" s="55"/>
    </row>
    <row r="42">
      <c r="A42" s="56">
        <v>45803.0</v>
      </c>
      <c r="B42" s="57">
        <v>45803.0</v>
      </c>
      <c r="C42" s="17">
        <v>70.55</v>
      </c>
      <c r="D42" s="58">
        <v>127.52</v>
      </c>
      <c r="F42" s="55">
        <f t="shared" si="25"/>
        <v>0.004556457354</v>
      </c>
      <c r="G42" s="55">
        <f t="shared" si="26"/>
        <v>0.01633856699</v>
      </c>
      <c r="H42" s="55">
        <f t="shared" ref="H42:H53" si="27">D41/D42-1</f>
        <v>-0.01082183187</v>
      </c>
    </row>
    <row r="43">
      <c r="A43" s="52">
        <v>45796.0</v>
      </c>
      <c r="B43" s="53">
        <v>45796.0</v>
      </c>
      <c r="C43" s="14">
        <v>70.23</v>
      </c>
      <c r="D43" s="54">
        <v>125.47</v>
      </c>
      <c r="F43" s="55">
        <f t="shared" si="25"/>
        <v>-0.003122782115</v>
      </c>
      <c r="G43" s="55">
        <f t="shared" si="26"/>
        <v>-0.0199953136</v>
      </c>
      <c r="H43" s="55">
        <f t="shared" si="27"/>
        <v>0.01633856699</v>
      </c>
    </row>
    <row r="44">
      <c r="A44" s="56">
        <v>45789.0</v>
      </c>
      <c r="B44" s="57">
        <v>45789.0</v>
      </c>
      <c r="C44" s="17">
        <v>70.45</v>
      </c>
      <c r="D44" s="58">
        <v>128.03</v>
      </c>
      <c r="F44" s="55">
        <f t="shared" si="25"/>
        <v>0.02101449275</v>
      </c>
      <c r="G44" s="55">
        <f t="shared" si="26"/>
        <v>0.01177493283</v>
      </c>
      <c r="H44" s="55">
        <f t="shared" si="27"/>
        <v>-0.0199953136</v>
      </c>
    </row>
    <row r="45">
      <c r="A45" s="52">
        <v>45782.0</v>
      </c>
      <c r="B45" s="53">
        <v>45782.0</v>
      </c>
      <c r="C45" s="14">
        <v>69.0</v>
      </c>
      <c r="D45" s="54">
        <v>126.54</v>
      </c>
      <c r="F45" s="55">
        <f t="shared" si="25"/>
        <v>-0.01583226359</v>
      </c>
      <c r="G45" s="55">
        <f t="shared" si="26"/>
        <v>-0.02473988439</v>
      </c>
      <c r="H45" s="55">
        <f t="shared" si="27"/>
        <v>0.01177493283</v>
      </c>
    </row>
    <row r="46">
      <c r="A46" s="56">
        <v>45775.0</v>
      </c>
      <c r="B46" s="57">
        <v>45775.0</v>
      </c>
      <c r="C46" s="17">
        <v>70.11</v>
      </c>
      <c r="D46" s="58">
        <v>129.75</v>
      </c>
      <c r="F46" s="55">
        <f t="shared" si="25"/>
        <v>-0.003553155202</v>
      </c>
      <c r="G46" s="55">
        <f t="shared" si="26"/>
        <v>0.002782286112</v>
      </c>
      <c r="H46" s="55">
        <f t="shared" si="27"/>
        <v>-0.02473988439</v>
      </c>
    </row>
    <row r="47">
      <c r="A47" s="52">
        <v>45768.0</v>
      </c>
      <c r="B47" s="53">
        <v>45768.0</v>
      </c>
      <c r="C47" s="14">
        <v>70.36</v>
      </c>
      <c r="D47" s="54">
        <v>129.39</v>
      </c>
      <c r="F47" s="55">
        <f t="shared" si="25"/>
        <v>-0.01497970041</v>
      </c>
      <c r="G47" s="55">
        <f t="shared" si="26"/>
        <v>-0.06624810565</v>
      </c>
      <c r="H47" s="55">
        <f t="shared" si="27"/>
        <v>0.002782286112</v>
      </c>
    </row>
    <row r="48">
      <c r="A48" s="56">
        <v>45761.0</v>
      </c>
      <c r="B48" s="57">
        <v>45761.0</v>
      </c>
      <c r="C48" s="17">
        <v>71.43</v>
      </c>
      <c r="D48" s="58">
        <v>138.57</v>
      </c>
      <c r="F48" s="55">
        <f t="shared" si="25"/>
        <v>0.02203462584</v>
      </c>
      <c r="G48" s="55">
        <f t="shared" si="26"/>
        <v>-0.01099136393</v>
      </c>
      <c r="H48" s="55">
        <f t="shared" si="27"/>
        <v>-0.06624810565</v>
      </c>
    </row>
    <row r="49">
      <c r="A49" s="52">
        <v>45754.0</v>
      </c>
      <c r="B49" s="53">
        <v>45754.0</v>
      </c>
      <c r="C49" s="14">
        <v>69.89</v>
      </c>
      <c r="D49" s="54">
        <v>140.11</v>
      </c>
      <c r="F49" s="55">
        <f t="shared" si="25"/>
        <v>0.02133567149</v>
      </c>
      <c r="G49" s="55">
        <f t="shared" si="26"/>
        <v>-0.01483616932</v>
      </c>
      <c r="H49" s="55">
        <f t="shared" si="27"/>
        <v>-0.01099136393</v>
      </c>
    </row>
    <row r="50">
      <c r="A50" s="56">
        <v>45747.0</v>
      </c>
      <c r="B50" s="57">
        <v>45747.0</v>
      </c>
      <c r="C50" s="17">
        <v>68.43</v>
      </c>
      <c r="D50" s="58">
        <v>142.22</v>
      </c>
      <c r="F50" s="55">
        <f t="shared" si="25"/>
        <v>-0.006244554168</v>
      </c>
      <c r="G50" s="55">
        <f t="shared" si="26"/>
        <v>-0.01781767956</v>
      </c>
      <c r="H50" s="55">
        <f t="shared" si="27"/>
        <v>-0.01483616932</v>
      </c>
    </row>
    <row r="51">
      <c r="A51" s="52">
        <v>45740.0</v>
      </c>
      <c r="B51" s="53">
        <v>45740.0</v>
      </c>
      <c r="C51" s="14">
        <v>68.86</v>
      </c>
      <c r="D51" s="54">
        <v>144.8</v>
      </c>
      <c r="F51" s="55">
        <f t="shared" si="25"/>
        <v>0.02485488912</v>
      </c>
      <c r="G51" s="55">
        <f t="shared" si="26"/>
        <v>0.02622253721</v>
      </c>
      <c r="H51" s="55">
        <f t="shared" si="27"/>
        <v>-0.01781767956</v>
      </c>
    </row>
    <row r="52">
      <c r="A52" s="56">
        <v>45733.0</v>
      </c>
      <c r="B52" s="57">
        <v>45733.0</v>
      </c>
      <c r="C52" s="17">
        <v>67.19</v>
      </c>
      <c r="D52" s="58">
        <v>141.1</v>
      </c>
      <c r="F52" s="55"/>
      <c r="G52" s="55">
        <f t="shared" si="26"/>
        <v>-0.02109060635</v>
      </c>
      <c r="H52" s="55">
        <f t="shared" si="27"/>
        <v>0.02622253721</v>
      </c>
    </row>
    <row r="53">
      <c r="A53" s="52">
        <v>45730.0</v>
      </c>
      <c r="B53" s="53">
        <v>45726.0</v>
      </c>
      <c r="D53" s="54">
        <v>144.14</v>
      </c>
      <c r="F53" s="55"/>
      <c r="G53" s="55"/>
      <c r="H53" s="55">
        <f t="shared" si="27"/>
        <v>-0.02109060635</v>
      </c>
    </row>
    <row r="54">
      <c r="A54" s="56">
        <v>45726.0</v>
      </c>
      <c r="B54" s="57">
        <v>45723.0</v>
      </c>
      <c r="C54" s="17">
        <v>67.18</v>
      </c>
      <c r="F54" s="55">
        <f t="shared" ref="F54:F58" si="28">(C54-C55)/C55</f>
        <v>-0.03170942635</v>
      </c>
      <c r="G54" s="55"/>
      <c r="H54" s="55"/>
    </row>
    <row r="55">
      <c r="A55" s="52">
        <v>45719.0</v>
      </c>
      <c r="B55" s="53">
        <v>45719.0</v>
      </c>
      <c r="C55" s="14">
        <v>69.38</v>
      </c>
      <c r="D55" s="54">
        <v>148.51</v>
      </c>
      <c r="F55" s="55">
        <f t="shared" si="28"/>
        <v>0.003035998265</v>
      </c>
      <c r="G55" s="55">
        <f t="shared" ref="G55:G58" si="29">(D55-D56)/D56</f>
        <v>0.006369858372</v>
      </c>
      <c r="H55" s="55"/>
    </row>
    <row r="56">
      <c r="A56" s="56">
        <v>45712.0</v>
      </c>
      <c r="B56" s="57">
        <v>45712.0</v>
      </c>
      <c r="C56" s="17">
        <v>69.17</v>
      </c>
      <c r="D56" s="58">
        <v>147.57</v>
      </c>
      <c r="F56" s="55">
        <f t="shared" si="28"/>
        <v>-0.002019910547</v>
      </c>
      <c r="G56" s="55">
        <f t="shared" si="29"/>
        <v>-0.0002032520325</v>
      </c>
      <c r="H56" s="55">
        <f t="shared" ref="H56:H59" si="30">D55/D56-1</f>
        <v>0.006369858372</v>
      </c>
    </row>
    <row r="57">
      <c r="A57" s="52">
        <v>45705.0</v>
      </c>
      <c r="B57" s="53">
        <v>45705.0</v>
      </c>
      <c r="C57" s="14">
        <v>69.31</v>
      </c>
      <c r="D57" s="54">
        <v>147.6</v>
      </c>
      <c r="F57" s="55">
        <f t="shared" si="28"/>
        <v>0.03602391629</v>
      </c>
      <c r="G57" s="55">
        <f t="shared" si="29"/>
        <v>0.07049608355</v>
      </c>
      <c r="H57" s="55">
        <f t="shared" si="30"/>
        <v>-0.0002032520325</v>
      </c>
    </row>
    <row r="58">
      <c r="A58" s="56">
        <v>45698.0</v>
      </c>
      <c r="B58" s="57">
        <v>45698.0</v>
      </c>
      <c r="C58" s="17">
        <v>66.9</v>
      </c>
      <c r="D58" s="58">
        <v>137.88</v>
      </c>
      <c r="F58" s="55">
        <f t="shared" si="28"/>
        <v>0.07885824867</v>
      </c>
      <c r="G58" s="55">
        <f t="shared" si="29"/>
        <v>-0.008200258956</v>
      </c>
      <c r="H58" s="55">
        <f t="shared" si="30"/>
        <v>0.07049608355</v>
      </c>
    </row>
    <row r="59">
      <c r="A59" s="59">
        <v>45691.0</v>
      </c>
      <c r="B59" s="60">
        <v>45691.0</v>
      </c>
      <c r="C59" s="30">
        <v>62.01</v>
      </c>
      <c r="D59" s="61">
        <v>139.02</v>
      </c>
      <c r="F59" s="55"/>
      <c r="G59" s="55"/>
      <c r="H59" s="55">
        <f t="shared" si="30"/>
        <v>-0.008200258956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c r="B1" s="62"/>
      <c r="C1" s="62"/>
      <c r="D1" s="62"/>
      <c r="E1" s="63" t="s">
        <v>16</v>
      </c>
      <c r="F1" s="64" t="s">
        <v>17</v>
      </c>
    </row>
    <row r="2">
      <c r="A2" s="52">
        <v>46055.0</v>
      </c>
      <c r="B2" s="53">
        <v>46055.0</v>
      </c>
      <c r="C2" s="9" t="s">
        <v>6</v>
      </c>
      <c r="D2" s="50" t="s">
        <v>6</v>
      </c>
    </row>
    <row r="3">
      <c r="A3" s="56">
        <v>46048.0</v>
      </c>
      <c r="B3" s="57">
        <v>46048.0</v>
      </c>
      <c r="C3" s="14">
        <v>75.33</v>
      </c>
      <c r="D3" s="54">
        <v>155.2</v>
      </c>
      <c r="E3" s="55">
        <f t="shared" ref="E3:F3" si="1">C3/C4-1</f>
        <v>0.006950942387</v>
      </c>
      <c r="F3" s="55">
        <f t="shared" si="1"/>
        <v>0.0102193582</v>
      </c>
    </row>
    <row r="4">
      <c r="A4" s="52">
        <v>46041.0</v>
      </c>
      <c r="B4" s="53">
        <v>46041.0</v>
      </c>
      <c r="C4" s="17">
        <v>74.81</v>
      </c>
      <c r="D4" s="58">
        <v>153.63</v>
      </c>
      <c r="E4" s="55">
        <f t="shared" ref="E4:F4" si="2">C4/C5-1</f>
        <v>0.02648188804</v>
      </c>
      <c r="F4" s="55">
        <f t="shared" si="2"/>
        <v>0.06259510306</v>
      </c>
    </row>
    <row r="5">
      <c r="A5" s="56">
        <v>46034.0</v>
      </c>
      <c r="B5" s="57">
        <v>46034.0</v>
      </c>
      <c r="C5" s="14">
        <v>72.88</v>
      </c>
      <c r="D5" s="54">
        <v>144.58</v>
      </c>
      <c r="E5" s="55">
        <f t="shared" ref="E5:F5" si="3">C5/C6-1</f>
        <v>0.03463940943</v>
      </c>
      <c r="F5" s="55">
        <f t="shared" si="3"/>
        <v>-0.01189174412</v>
      </c>
    </row>
    <row r="6">
      <c r="A6" s="52">
        <v>46027.0</v>
      </c>
      <c r="B6" s="53">
        <v>46027.0</v>
      </c>
      <c r="C6" s="17">
        <v>70.44</v>
      </c>
      <c r="D6" s="58">
        <v>146.32</v>
      </c>
      <c r="E6" s="55">
        <f t="shared" ref="E6:F6" si="4">C6/C7-1</f>
        <v>-0.0009927669834</v>
      </c>
      <c r="F6" s="55">
        <f t="shared" si="4"/>
        <v>0.04581516689</v>
      </c>
    </row>
    <row r="7">
      <c r="A7" s="56">
        <v>46020.0</v>
      </c>
      <c r="B7" s="57">
        <v>46020.0</v>
      </c>
      <c r="C7" s="14">
        <v>70.51</v>
      </c>
      <c r="D7" s="54">
        <v>139.91</v>
      </c>
      <c r="E7" s="55">
        <f t="shared" ref="E7:F7" si="5">C7/C8-1</f>
        <v>0.0201099537</v>
      </c>
      <c r="F7" s="55">
        <f t="shared" si="5"/>
        <v>-0.01631160796</v>
      </c>
    </row>
    <row r="8">
      <c r="A8" s="52">
        <v>46013.0</v>
      </c>
      <c r="B8" s="53">
        <v>46013.0</v>
      </c>
      <c r="C8" s="17">
        <v>69.12</v>
      </c>
      <c r="D8" s="58">
        <v>142.23</v>
      </c>
      <c r="E8" s="55">
        <f t="shared" ref="E8:F8" si="6">C8/C9-1</f>
        <v>-0.0107342207</v>
      </c>
      <c r="F8" s="55">
        <f t="shared" si="6"/>
        <v>-0.01078035888</v>
      </c>
    </row>
    <row r="9">
      <c r="A9" s="56">
        <v>46006.0</v>
      </c>
      <c r="B9" s="57">
        <v>46006.0</v>
      </c>
      <c r="C9" s="14">
        <v>69.87</v>
      </c>
      <c r="D9" s="54">
        <v>143.78</v>
      </c>
      <c r="E9" s="55">
        <f t="shared" ref="E9:F9" si="7">C9/C10-1</f>
        <v>-0.002711961176</v>
      </c>
      <c r="F9" s="55">
        <f t="shared" si="7"/>
        <v>-0.02956263499</v>
      </c>
    </row>
    <row r="10">
      <c r="A10" s="52">
        <v>45999.0</v>
      </c>
      <c r="B10" s="53">
        <v>45999.0</v>
      </c>
      <c r="C10" s="17">
        <v>70.06</v>
      </c>
      <c r="D10" s="58">
        <v>148.16</v>
      </c>
      <c r="E10" s="55">
        <f t="shared" ref="E10:F10" si="8">C10/C11-1</f>
        <v>-0.006522972206</v>
      </c>
      <c r="F10" s="55">
        <f t="shared" si="8"/>
        <v>-0.01652837703</v>
      </c>
    </row>
    <row r="11">
      <c r="A11" s="56">
        <v>45992.0</v>
      </c>
      <c r="B11" s="57">
        <v>45996.0</v>
      </c>
      <c r="C11" s="14">
        <v>70.52</v>
      </c>
      <c r="D11" s="54">
        <v>150.65</v>
      </c>
      <c r="E11" s="55"/>
      <c r="F11" s="55"/>
    </row>
    <row r="12">
      <c r="A12" s="52">
        <v>45992.0</v>
      </c>
      <c r="B12" s="53">
        <v>45992.0</v>
      </c>
      <c r="E12" s="55"/>
      <c r="F12" s="55"/>
    </row>
    <row r="13">
      <c r="A13" s="56">
        <v>45985.0</v>
      </c>
      <c r="B13" s="57">
        <v>45985.0</v>
      </c>
      <c r="C13" s="14">
        <v>69.51</v>
      </c>
      <c r="D13" s="54">
        <v>143.62</v>
      </c>
      <c r="E13" s="55">
        <f t="shared" ref="E13:F13" si="9">C13/C14-1</f>
        <v>-0.04269384382</v>
      </c>
      <c r="F13" s="55">
        <f t="shared" si="9"/>
        <v>-0.02498302783</v>
      </c>
    </row>
    <row r="14">
      <c r="A14" s="52">
        <v>45978.0</v>
      </c>
      <c r="B14" s="53">
        <v>45978.0</v>
      </c>
      <c r="C14" s="17">
        <v>72.61</v>
      </c>
      <c r="D14" s="58">
        <v>147.3</v>
      </c>
      <c r="E14" s="55">
        <f t="shared" ref="E14:F14" si="10">C14/C15-1</f>
        <v>0.00234676974</v>
      </c>
      <c r="F14" s="55">
        <f t="shared" si="10"/>
        <v>0.01649299565</v>
      </c>
    </row>
    <row r="15">
      <c r="A15" s="56">
        <v>45971.0</v>
      </c>
      <c r="B15" s="57">
        <v>45971.0</v>
      </c>
      <c r="C15" s="14">
        <v>72.44</v>
      </c>
      <c r="D15" s="54">
        <v>144.91</v>
      </c>
      <c r="E15" s="55">
        <f t="shared" ref="E15:F15" si="11">C15/C16-1</f>
        <v>0.02519105576</v>
      </c>
      <c r="F15" s="55">
        <f t="shared" si="11"/>
        <v>0.003253946275</v>
      </c>
    </row>
    <row r="16">
      <c r="A16" s="52">
        <v>45964.0</v>
      </c>
      <c r="B16" s="53">
        <v>45964.0</v>
      </c>
      <c r="C16" s="17">
        <v>70.66</v>
      </c>
      <c r="D16" s="58">
        <v>144.44</v>
      </c>
      <c r="E16" s="55">
        <f t="shared" ref="E16:F16" si="12">C16/C17-1</f>
        <v>0.008564087925</v>
      </c>
      <c r="F16" s="55">
        <f t="shared" si="12"/>
        <v>0.02027265664</v>
      </c>
    </row>
    <row r="17">
      <c r="A17" s="56">
        <v>45957.0</v>
      </c>
      <c r="B17" s="57">
        <v>45957.0</v>
      </c>
      <c r="C17" s="14">
        <v>70.06</v>
      </c>
      <c r="D17" s="54">
        <v>141.57</v>
      </c>
      <c r="E17" s="55">
        <f t="shared" ref="E17:F17" si="13">C17/C18-1</f>
        <v>0.02396959953</v>
      </c>
      <c r="F17" s="55">
        <f t="shared" si="13"/>
        <v>-0.02142807769</v>
      </c>
    </row>
    <row r="18">
      <c r="A18" s="52">
        <v>45950.0</v>
      </c>
      <c r="B18" s="53">
        <v>45950.0</v>
      </c>
      <c r="C18" s="17">
        <v>68.42</v>
      </c>
      <c r="D18" s="58">
        <v>144.67</v>
      </c>
      <c r="E18" s="55">
        <f t="shared" ref="E18:F18" si="14">C18/C19-1</f>
        <v>-0.01155735337</v>
      </c>
      <c r="F18" s="55">
        <f t="shared" si="14"/>
        <v>-0.03604744136</v>
      </c>
    </row>
    <row r="19">
      <c r="A19" s="56">
        <v>45943.0</v>
      </c>
      <c r="B19" s="57">
        <v>45943.0</v>
      </c>
      <c r="C19" s="14">
        <v>69.22</v>
      </c>
      <c r="D19" s="54">
        <v>150.08</v>
      </c>
      <c r="E19" s="55">
        <f t="shared" ref="E19:F19" si="15">C19/C20-1</f>
        <v>0.01854031783</v>
      </c>
      <c r="F19" s="55">
        <f t="shared" si="15"/>
        <v>-0.0140585994</v>
      </c>
    </row>
    <row r="20">
      <c r="A20" s="52">
        <v>45936.0</v>
      </c>
      <c r="B20" s="53">
        <v>45936.0</v>
      </c>
      <c r="C20" s="17">
        <v>67.96</v>
      </c>
      <c r="D20" s="58">
        <v>152.22</v>
      </c>
      <c r="E20" s="55">
        <f t="shared" ref="E20:F20" si="16">C20/C21-1</f>
        <v>0.0208802764</v>
      </c>
      <c r="F20" s="55">
        <f t="shared" si="16"/>
        <v>0.02415393931</v>
      </c>
    </row>
    <row r="21">
      <c r="A21" s="56">
        <v>45929.0</v>
      </c>
      <c r="B21" s="57">
        <v>45929.0</v>
      </c>
      <c r="C21" s="14">
        <v>66.57</v>
      </c>
      <c r="D21" s="54">
        <v>148.63</v>
      </c>
      <c r="E21" s="55">
        <f t="shared" ref="E21:F21" si="17">C21/C22-1</f>
        <v>0.005741048497</v>
      </c>
      <c r="F21" s="55">
        <f t="shared" si="17"/>
        <v>0.05711237553</v>
      </c>
    </row>
    <row r="22">
      <c r="A22" s="52">
        <v>45922.0</v>
      </c>
      <c r="B22" s="53">
        <v>45922.0</v>
      </c>
      <c r="C22" s="17">
        <v>66.19</v>
      </c>
      <c r="D22" s="58">
        <v>140.6</v>
      </c>
      <c r="E22" s="55">
        <f t="shared" ref="E22:F22" si="18">C22/C23-1</f>
        <v>0.01502836988</v>
      </c>
      <c r="F22" s="55">
        <f t="shared" si="18"/>
        <v>0.01092896175</v>
      </c>
    </row>
    <row r="23">
      <c r="A23" s="56">
        <v>45915.0</v>
      </c>
      <c r="B23" s="57">
        <v>45915.0</v>
      </c>
      <c r="C23" s="14">
        <v>65.21</v>
      </c>
      <c r="D23" s="54">
        <v>139.08</v>
      </c>
      <c r="E23" s="55"/>
      <c r="F23" s="55">
        <f t="shared" ref="F23:F24" si="19">D23/D24-1</f>
        <v>-0.009331148942</v>
      </c>
    </row>
    <row r="24">
      <c r="A24" s="52">
        <v>45915.0</v>
      </c>
      <c r="B24" s="53">
        <v>45908.0</v>
      </c>
      <c r="D24" s="58">
        <v>140.39</v>
      </c>
      <c r="E24" s="55"/>
      <c r="F24" s="55">
        <f t="shared" si="19"/>
        <v>-0.01231180526</v>
      </c>
    </row>
    <row r="25">
      <c r="A25" s="56">
        <v>45908.0</v>
      </c>
      <c r="B25" s="57">
        <v>45905.0</v>
      </c>
      <c r="C25" s="14">
        <v>65.46</v>
      </c>
      <c r="D25" s="54">
        <v>142.14</v>
      </c>
      <c r="E25" s="55">
        <f t="shared" ref="E25:E37" si="20">C25/C26-1</f>
        <v>-0.008782556027</v>
      </c>
      <c r="F25" s="55"/>
    </row>
    <row r="26">
      <c r="A26" s="52">
        <v>45901.0</v>
      </c>
      <c r="B26" s="53">
        <v>45901.0</v>
      </c>
      <c r="C26" s="17">
        <v>66.04</v>
      </c>
      <c r="E26" s="55">
        <f t="shared" si="20"/>
        <v>-0.01388681499</v>
      </c>
      <c r="F26" s="55"/>
    </row>
    <row r="27">
      <c r="A27" s="56">
        <v>45894.0</v>
      </c>
      <c r="B27" s="57">
        <v>45894.0</v>
      </c>
      <c r="C27" s="14">
        <v>66.97</v>
      </c>
      <c r="D27" s="54">
        <v>143.57</v>
      </c>
      <c r="E27" s="55">
        <f t="shared" si="20"/>
        <v>-0.01500220621</v>
      </c>
      <c r="F27" s="55">
        <f t="shared" ref="F27:F38" si="21">D27/D28-1</f>
        <v>-0.01515982988</v>
      </c>
    </row>
    <row r="28">
      <c r="A28" s="52">
        <v>45887.0</v>
      </c>
      <c r="B28" s="53">
        <v>45887.0</v>
      </c>
      <c r="C28" s="17">
        <v>67.99</v>
      </c>
      <c r="D28" s="58">
        <v>145.78</v>
      </c>
      <c r="E28" s="55">
        <f t="shared" si="20"/>
        <v>-0.01620604833</v>
      </c>
      <c r="F28" s="55">
        <f t="shared" si="21"/>
        <v>-0.00660988075</v>
      </c>
    </row>
    <row r="29">
      <c r="A29" s="56">
        <v>45880.0</v>
      </c>
      <c r="B29" s="57">
        <v>45880.0</v>
      </c>
      <c r="C29" s="14">
        <v>69.11</v>
      </c>
      <c r="D29" s="54">
        <v>146.75</v>
      </c>
      <c r="E29" s="55">
        <f t="shared" si="20"/>
        <v>0.003047895501</v>
      </c>
      <c r="F29" s="55">
        <f t="shared" si="21"/>
        <v>-0.005084745763</v>
      </c>
    </row>
    <row r="30">
      <c r="A30" s="52">
        <v>45873.0</v>
      </c>
      <c r="B30" s="53">
        <v>45873.0</v>
      </c>
      <c r="C30" s="17">
        <v>68.9</v>
      </c>
      <c r="D30" s="58">
        <v>147.5</v>
      </c>
      <c r="E30" s="55">
        <f t="shared" si="20"/>
        <v>-0.006058857473</v>
      </c>
      <c r="F30" s="55">
        <f t="shared" si="21"/>
        <v>0.03574187206</v>
      </c>
    </row>
    <row r="31">
      <c r="A31" s="56">
        <v>45866.0</v>
      </c>
      <c r="B31" s="57">
        <v>45866.0</v>
      </c>
      <c r="C31" s="14">
        <v>69.32</v>
      </c>
      <c r="D31" s="54">
        <v>142.41</v>
      </c>
      <c r="E31" s="55">
        <f t="shared" si="20"/>
        <v>0.02151488358</v>
      </c>
      <c r="F31" s="55">
        <f t="shared" si="21"/>
        <v>0.04260926861</v>
      </c>
    </row>
    <row r="32">
      <c r="A32" s="52">
        <v>45859.0</v>
      </c>
      <c r="B32" s="53">
        <v>45859.0</v>
      </c>
      <c r="C32" s="17">
        <v>67.86</v>
      </c>
      <c r="D32" s="58">
        <v>136.59</v>
      </c>
      <c r="E32" s="55">
        <f t="shared" si="20"/>
        <v>-0.004401408451</v>
      </c>
      <c r="F32" s="55">
        <f t="shared" si="21"/>
        <v>-0.02907307364</v>
      </c>
    </row>
    <row r="33">
      <c r="A33" s="56">
        <v>45852.0</v>
      </c>
      <c r="B33" s="57">
        <v>45852.0</v>
      </c>
      <c r="C33" s="14">
        <v>68.16</v>
      </c>
      <c r="D33" s="54">
        <v>140.68</v>
      </c>
      <c r="E33" s="55">
        <f t="shared" si="20"/>
        <v>-0.009734127561</v>
      </c>
      <c r="F33" s="55">
        <f t="shared" si="21"/>
        <v>0.001423690205</v>
      </c>
    </row>
    <row r="34">
      <c r="A34" s="52">
        <v>45845.0</v>
      </c>
      <c r="B34" s="53">
        <v>45845.0</v>
      </c>
      <c r="C34" s="17">
        <v>68.83</v>
      </c>
      <c r="D34" s="58">
        <v>140.48</v>
      </c>
      <c r="E34" s="55">
        <f t="shared" si="20"/>
        <v>-0.000290486565</v>
      </c>
      <c r="F34" s="55">
        <f t="shared" si="21"/>
        <v>0.05902751602</v>
      </c>
    </row>
    <row r="35">
      <c r="A35" s="56">
        <v>45838.0</v>
      </c>
      <c r="B35" s="57">
        <v>45838.0</v>
      </c>
      <c r="C35" s="14">
        <v>68.85</v>
      </c>
      <c r="D35" s="54">
        <v>132.65</v>
      </c>
      <c r="E35" s="55">
        <f t="shared" si="20"/>
        <v>-0.02076518276</v>
      </c>
      <c r="F35" s="55">
        <f t="shared" si="21"/>
        <v>-0.0009038186337</v>
      </c>
    </row>
    <row r="36">
      <c r="A36" s="52">
        <v>45831.0</v>
      </c>
      <c r="B36" s="53">
        <v>45831.0</v>
      </c>
      <c r="C36" s="17">
        <v>70.31</v>
      </c>
      <c r="D36" s="58">
        <v>132.77</v>
      </c>
      <c r="E36" s="55">
        <f t="shared" si="20"/>
        <v>0.01442793248</v>
      </c>
      <c r="F36" s="55">
        <f t="shared" si="21"/>
        <v>0.03314917127</v>
      </c>
    </row>
    <row r="37">
      <c r="A37" s="56">
        <v>45824.0</v>
      </c>
      <c r="B37" s="57">
        <v>45824.0</v>
      </c>
      <c r="C37" s="14">
        <v>69.31</v>
      </c>
      <c r="D37" s="54">
        <v>128.51</v>
      </c>
      <c r="E37" s="55">
        <f t="shared" si="20"/>
        <v>0.02166863208</v>
      </c>
      <c r="F37" s="55">
        <f t="shared" si="21"/>
        <v>0.01524727445</v>
      </c>
    </row>
    <row r="38">
      <c r="A38" s="52">
        <v>45821.0</v>
      </c>
      <c r="B38" s="53">
        <v>45817.0</v>
      </c>
      <c r="C38" s="17">
        <v>67.84</v>
      </c>
      <c r="D38" s="58">
        <v>126.58</v>
      </c>
      <c r="E38" s="55"/>
      <c r="F38" s="55">
        <f t="shared" si="21"/>
        <v>-0.01363671784</v>
      </c>
    </row>
    <row r="39">
      <c r="A39" s="56">
        <v>45817.0</v>
      </c>
      <c r="B39" s="57">
        <v>45814.0</v>
      </c>
      <c r="D39" s="54">
        <v>128.33</v>
      </c>
      <c r="E39" s="55"/>
      <c r="F39" s="55"/>
    </row>
    <row r="40">
      <c r="A40" s="52">
        <v>45810.0</v>
      </c>
      <c r="B40" s="53">
        <v>45810.0</v>
      </c>
      <c r="C40" s="17">
        <v>69.49</v>
      </c>
      <c r="E40" s="55">
        <f t="shared" ref="E40:E51" si="22">C40/C41-1</f>
        <v>-0.004726439416</v>
      </c>
      <c r="F40" s="55"/>
    </row>
    <row r="41">
      <c r="A41" s="56">
        <v>45803.0</v>
      </c>
      <c r="B41" s="57">
        <v>45803.0</v>
      </c>
      <c r="C41" s="14">
        <v>69.82</v>
      </c>
      <c r="D41" s="54">
        <v>126.14</v>
      </c>
      <c r="E41" s="55">
        <f t="shared" si="22"/>
        <v>-0.01034727144</v>
      </c>
      <c r="F41" s="55">
        <f t="shared" ref="F41:F52" si="23">D41/D42-1</f>
        <v>-0.01082183187</v>
      </c>
    </row>
    <row r="42">
      <c r="A42" s="52">
        <v>45796.0</v>
      </c>
      <c r="B42" s="53">
        <v>45796.0</v>
      </c>
      <c r="C42" s="17">
        <v>70.55</v>
      </c>
      <c r="D42" s="58">
        <v>127.52</v>
      </c>
      <c r="E42" s="55">
        <f t="shared" si="22"/>
        <v>0.004556457354</v>
      </c>
      <c r="F42" s="55">
        <f t="shared" si="23"/>
        <v>0.01633856699</v>
      </c>
    </row>
    <row r="43">
      <c r="A43" s="56">
        <v>45789.0</v>
      </c>
      <c r="B43" s="57">
        <v>45789.0</v>
      </c>
      <c r="C43" s="14">
        <v>70.23</v>
      </c>
      <c r="D43" s="54">
        <v>125.47</v>
      </c>
      <c r="E43" s="55">
        <f t="shared" si="22"/>
        <v>-0.003122782115</v>
      </c>
      <c r="F43" s="55">
        <f t="shared" si="23"/>
        <v>-0.0199953136</v>
      </c>
    </row>
    <row r="44">
      <c r="A44" s="52">
        <v>45782.0</v>
      </c>
      <c r="B44" s="53">
        <v>45782.0</v>
      </c>
      <c r="C44" s="17">
        <v>70.45</v>
      </c>
      <c r="D44" s="58">
        <v>128.03</v>
      </c>
      <c r="E44" s="55">
        <f t="shared" si="22"/>
        <v>0.02101449275</v>
      </c>
      <c r="F44" s="55">
        <f t="shared" si="23"/>
        <v>0.01177493283</v>
      </c>
    </row>
    <row r="45">
      <c r="A45" s="56">
        <v>45775.0</v>
      </c>
      <c r="B45" s="57">
        <v>45775.0</v>
      </c>
      <c r="C45" s="14">
        <v>69.0</v>
      </c>
      <c r="D45" s="54">
        <v>126.54</v>
      </c>
      <c r="E45" s="55">
        <f t="shared" si="22"/>
        <v>-0.01583226359</v>
      </c>
      <c r="F45" s="55">
        <f t="shared" si="23"/>
        <v>-0.02473988439</v>
      </c>
    </row>
    <row r="46">
      <c r="A46" s="52">
        <v>45768.0</v>
      </c>
      <c r="B46" s="53">
        <v>45768.0</v>
      </c>
      <c r="C46" s="17">
        <v>70.11</v>
      </c>
      <c r="D46" s="58">
        <v>129.75</v>
      </c>
      <c r="E46" s="55">
        <f t="shared" si="22"/>
        <v>-0.003553155202</v>
      </c>
      <c r="F46" s="55">
        <f t="shared" si="23"/>
        <v>0.002782286112</v>
      </c>
    </row>
    <row r="47">
      <c r="A47" s="56">
        <v>45761.0</v>
      </c>
      <c r="B47" s="57">
        <v>45761.0</v>
      </c>
      <c r="C47" s="14">
        <v>70.36</v>
      </c>
      <c r="D47" s="54">
        <v>129.39</v>
      </c>
      <c r="E47" s="55">
        <f t="shared" si="22"/>
        <v>-0.01497970041</v>
      </c>
      <c r="F47" s="55">
        <f t="shared" si="23"/>
        <v>-0.06624810565</v>
      </c>
    </row>
    <row r="48">
      <c r="A48" s="52">
        <v>45754.0</v>
      </c>
      <c r="B48" s="53">
        <v>45754.0</v>
      </c>
      <c r="C48" s="17">
        <v>71.43</v>
      </c>
      <c r="D48" s="58">
        <v>138.57</v>
      </c>
      <c r="E48" s="55">
        <f t="shared" si="22"/>
        <v>0.02203462584</v>
      </c>
      <c r="F48" s="55">
        <f t="shared" si="23"/>
        <v>-0.01099136393</v>
      </c>
    </row>
    <row r="49">
      <c r="A49" s="56">
        <v>45747.0</v>
      </c>
      <c r="B49" s="57">
        <v>45747.0</v>
      </c>
      <c r="C49" s="14">
        <v>69.89</v>
      </c>
      <c r="D49" s="54">
        <v>140.11</v>
      </c>
      <c r="E49" s="55">
        <f t="shared" si="22"/>
        <v>0.02133567149</v>
      </c>
      <c r="F49" s="55">
        <f t="shared" si="23"/>
        <v>-0.01483616932</v>
      </c>
    </row>
    <row r="50">
      <c r="A50" s="52">
        <v>45740.0</v>
      </c>
      <c r="B50" s="53">
        <v>45740.0</v>
      </c>
      <c r="C50" s="17">
        <v>68.43</v>
      </c>
      <c r="D50" s="58">
        <v>142.22</v>
      </c>
      <c r="E50" s="55">
        <f t="shared" si="22"/>
        <v>-0.006244554168</v>
      </c>
      <c r="F50" s="55">
        <f t="shared" si="23"/>
        <v>-0.01781767956</v>
      </c>
    </row>
    <row r="51">
      <c r="A51" s="56">
        <v>45733.0</v>
      </c>
      <c r="B51" s="57">
        <v>45733.0</v>
      </c>
      <c r="C51" s="14">
        <v>68.86</v>
      </c>
      <c r="D51" s="54">
        <v>144.8</v>
      </c>
      <c r="E51" s="55">
        <f t="shared" si="22"/>
        <v>0.02485488912</v>
      </c>
      <c r="F51" s="55">
        <f t="shared" si="23"/>
        <v>0.02622253721</v>
      </c>
    </row>
    <row r="52">
      <c r="A52" s="52">
        <v>45730.0</v>
      </c>
      <c r="B52" s="53">
        <v>45726.0</v>
      </c>
      <c r="C52" s="17">
        <v>67.19</v>
      </c>
      <c r="D52" s="58">
        <v>141.1</v>
      </c>
      <c r="E52" s="55"/>
      <c r="F52" s="55">
        <f t="shared" si="23"/>
        <v>-0.02109060635</v>
      </c>
    </row>
    <row r="53">
      <c r="A53" s="56">
        <v>45726.0</v>
      </c>
      <c r="B53" s="57">
        <v>45723.0</v>
      </c>
      <c r="D53" s="54">
        <v>144.14</v>
      </c>
      <c r="E53" s="55"/>
      <c r="F53" s="55"/>
    </row>
    <row r="54">
      <c r="A54" s="52">
        <v>45719.0</v>
      </c>
      <c r="B54" s="53">
        <v>45719.0</v>
      </c>
      <c r="C54" s="17">
        <v>67.18</v>
      </c>
      <c r="E54" s="55">
        <f t="shared" ref="E54:E58" si="24">C54/C55-1</f>
        <v>-0.03170942635</v>
      </c>
      <c r="F54" s="55"/>
    </row>
    <row r="55">
      <c r="A55" s="56">
        <v>45712.0</v>
      </c>
      <c r="B55" s="57">
        <v>45712.0</v>
      </c>
      <c r="C55" s="14">
        <v>69.38</v>
      </c>
      <c r="D55" s="54">
        <v>148.51</v>
      </c>
      <c r="E55" s="55">
        <f t="shared" si="24"/>
        <v>0.003035998265</v>
      </c>
      <c r="F55" s="55">
        <f t="shared" ref="F55:F58" si="25">D55/D56-1</f>
        <v>0.006369858372</v>
      </c>
    </row>
    <row r="56">
      <c r="A56" s="52">
        <v>45705.0</v>
      </c>
      <c r="B56" s="53">
        <v>45705.0</v>
      </c>
      <c r="C56" s="17">
        <v>69.17</v>
      </c>
      <c r="D56" s="58">
        <v>147.57</v>
      </c>
      <c r="E56" s="55">
        <f t="shared" si="24"/>
        <v>-0.002019910547</v>
      </c>
      <c r="F56" s="55">
        <f t="shared" si="25"/>
        <v>-0.0002032520325</v>
      </c>
    </row>
    <row r="57">
      <c r="A57" s="56">
        <v>45698.0</v>
      </c>
      <c r="B57" s="57">
        <v>45698.0</v>
      </c>
      <c r="C57" s="14">
        <v>69.31</v>
      </c>
      <c r="D57" s="54">
        <v>147.6</v>
      </c>
      <c r="E57" s="55">
        <f t="shared" si="24"/>
        <v>0.03602391629</v>
      </c>
      <c r="F57" s="55">
        <f t="shared" si="25"/>
        <v>0.07049608355</v>
      </c>
    </row>
    <row r="58">
      <c r="A58" s="59">
        <v>45691.0</v>
      </c>
      <c r="B58" s="60">
        <v>45691.0</v>
      </c>
      <c r="C58" s="17">
        <v>66.9</v>
      </c>
      <c r="D58" s="58">
        <v>137.88</v>
      </c>
      <c r="E58" s="55">
        <f t="shared" si="24"/>
        <v>0.07885824867</v>
      </c>
      <c r="F58" s="55">
        <f t="shared" si="25"/>
        <v>-0.008200258956</v>
      </c>
    </row>
    <row r="59">
      <c r="C59" s="30">
        <v>62.01</v>
      </c>
      <c r="D59" s="61">
        <v>139.02</v>
      </c>
      <c r="E59" s="55"/>
      <c r="F59" s="5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1.75"/>
  </cols>
  <sheetData>
    <row r="1">
      <c r="A1" s="65"/>
      <c r="B1" s="65"/>
      <c r="C1" s="66" t="s">
        <v>14</v>
      </c>
      <c r="D1" s="66" t="s">
        <v>15</v>
      </c>
    </row>
    <row r="2">
      <c r="A2" s="52">
        <v>46055.0</v>
      </c>
      <c r="B2" s="53">
        <v>46055.0</v>
      </c>
      <c r="C2" s="55">
        <v>0.006950942387381254</v>
      </c>
      <c r="D2" s="55">
        <v>0.01021935819826858</v>
      </c>
      <c r="F2" s="47"/>
      <c r="G2" s="67" t="s">
        <v>14</v>
      </c>
      <c r="H2" s="67" t="s">
        <v>15</v>
      </c>
    </row>
    <row r="3">
      <c r="A3" s="56">
        <v>46048.0</v>
      </c>
      <c r="B3" s="57">
        <v>46048.0</v>
      </c>
      <c r="C3" s="55">
        <v>0.0264818880351263</v>
      </c>
      <c r="D3" s="55">
        <v>0.06259510305713079</v>
      </c>
      <c r="F3" s="68" t="s">
        <v>18</v>
      </c>
      <c r="G3" s="69">
        <v>0.0789</v>
      </c>
      <c r="H3" s="70">
        <f>MAX(D2:D57)</f>
        <v>0.07049608355</v>
      </c>
    </row>
    <row r="4">
      <c r="A4" s="52">
        <v>46041.0</v>
      </c>
      <c r="B4" s="53">
        <v>46041.0</v>
      </c>
      <c r="C4" s="55">
        <v>0.03463940942646215</v>
      </c>
      <c r="D4" s="55">
        <v>-0.011891744122471182</v>
      </c>
      <c r="F4" s="68" t="s">
        <v>19</v>
      </c>
      <c r="G4" s="70">
        <f>MIN(C2:C5)</f>
        <v>-0.0009927669834</v>
      </c>
      <c r="H4" s="70">
        <f>MIN(D2:D57)</f>
        <v>-0.06624810565</v>
      </c>
    </row>
    <row r="5">
      <c r="A5" s="56">
        <v>46034.0</v>
      </c>
      <c r="B5" s="57">
        <v>46034.0</v>
      </c>
      <c r="C5" s="55">
        <v>-9.927669834066677E-4</v>
      </c>
      <c r="D5" s="55">
        <v>0.04581516689300269</v>
      </c>
      <c r="F5" s="68" t="s">
        <v>20</v>
      </c>
      <c r="G5" s="70">
        <f t="shared" ref="G5:H5" si="1">G3-G4</f>
        <v>0.07989276698</v>
      </c>
      <c r="H5" s="70">
        <f t="shared" si="1"/>
        <v>0.1367441892</v>
      </c>
    </row>
    <row r="6">
      <c r="A6" s="52">
        <v>46027.0</v>
      </c>
      <c r="B6" s="53">
        <v>46027.0</v>
      </c>
      <c r="C6" s="55">
        <v>0.02010995370370372</v>
      </c>
      <c r="D6" s="55">
        <v>-0.01631160795893971</v>
      </c>
    </row>
    <row r="7">
      <c r="A7" s="56">
        <v>46020.0</v>
      </c>
      <c r="B7" s="57">
        <v>46020.0</v>
      </c>
      <c r="C7" s="55">
        <v>-0.010734220695577501</v>
      </c>
      <c r="D7" s="55">
        <v>-0.010780358881624763</v>
      </c>
    </row>
    <row r="8">
      <c r="A8" s="52">
        <v>46013.0</v>
      </c>
      <c r="B8" s="53">
        <v>46013.0</v>
      </c>
      <c r="C8" s="55">
        <v>-0.002711961176134703</v>
      </c>
      <c r="D8" s="55">
        <v>-0.029562634989200864</v>
      </c>
      <c r="F8" s="68" t="s">
        <v>21</v>
      </c>
      <c r="G8" s="70">
        <f>_xlfn.PERCENTILE.INC(C:C,0.75)</f>
        <v>0.02091383049</v>
      </c>
      <c r="H8" s="70">
        <f>_xlfn.PERCENTILE.INC(C:C,0.25)</f>
        <v>-0.00902044891</v>
      </c>
    </row>
    <row r="9">
      <c r="A9" s="56">
        <v>46006.0</v>
      </c>
      <c r="B9" s="57">
        <v>46006.0</v>
      </c>
      <c r="C9" s="55">
        <v>-0.006522972206466138</v>
      </c>
      <c r="D9" s="55">
        <v>-0.0165283770328577</v>
      </c>
      <c r="F9" s="68" t="s">
        <v>22</v>
      </c>
      <c r="G9" s="70">
        <f>_xlfn.PERCENTILE.INC(C:C,0.025)</f>
        <v>-0.02979418372</v>
      </c>
      <c r="H9" s="70">
        <f>_xlfn.PERCENTILE.INC(D:D,0.25)</f>
        <v>-0.0154477744</v>
      </c>
    </row>
    <row r="10">
      <c r="A10" s="52">
        <v>45999.0</v>
      </c>
      <c r="B10" s="53">
        <v>45999.0</v>
      </c>
      <c r="C10" s="55"/>
      <c r="D10" s="55"/>
      <c r="F10" s="68" t="s">
        <v>23</v>
      </c>
      <c r="G10" s="70">
        <f t="shared" ref="G10:H10" si="2">G8-G9</f>
        <v>0.05070801421</v>
      </c>
      <c r="H10" s="70">
        <f t="shared" si="2"/>
        <v>0.00642732549</v>
      </c>
    </row>
    <row r="11">
      <c r="A11" s="56">
        <v>45992.0</v>
      </c>
      <c r="B11" s="57">
        <v>45996.0</v>
      </c>
      <c r="C11" s="55"/>
      <c r="D11" s="55"/>
    </row>
    <row r="12">
      <c r="A12" s="52">
        <v>45992.0</v>
      </c>
      <c r="B12" s="53">
        <v>45992.0</v>
      </c>
      <c r="C12" s="55">
        <v>-0.04269384382316477</v>
      </c>
      <c r="D12" s="55">
        <v>-0.02498302783435169</v>
      </c>
    </row>
    <row r="13">
      <c r="A13" s="56">
        <v>45985.0</v>
      </c>
      <c r="B13" s="57">
        <v>45985.0</v>
      </c>
      <c r="C13" s="55">
        <v>0.0023467697404748744</v>
      </c>
      <c r="D13" s="55">
        <v>0.016492995652473974</v>
      </c>
    </row>
    <row r="14">
      <c r="A14" s="52">
        <v>45978.0</v>
      </c>
      <c r="B14" s="53">
        <v>45978.0</v>
      </c>
      <c r="C14" s="55">
        <v>0.025191055759977266</v>
      </c>
      <c r="D14" s="55">
        <v>0.003253946275270092</v>
      </c>
      <c r="F14" s="71" t="s">
        <v>24</v>
      </c>
      <c r="G14" s="70">
        <f>AVERAGE(C:C)</f>
        <v>0.004540438598</v>
      </c>
      <c r="H14" s="70">
        <f>AVERAGEA(D:D)</f>
        <v>0.002109800109</v>
      </c>
    </row>
    <row r="15">
      <c r="A15" s="56">
        <v>45971.0</v>
      </c>
      <c r="B15" s="57">
        <v>45971.0</v>
      </c>
      <c r="C15" s="55">
        <v>0.008564087924636032</v>
      </c>
      <c r="D15" s="55">
        <v>0.020272656636292963</v>
      </c>
      <c r="F15" s="71" t="s">
        <v>25</v>
      </c>
      <c r="G15" s="70">
        <f t="shared" ref="G15:H15" si="3">AVEDEV(C:C)*57/56</f>
        <v>0.0159904292</v>
      </c>
      <c r="H15" s="70">
        <f t="shared" si="3"/>
        <v>0.02237287259</v>
      </c>
    </row>
    <row r="16">
      <c r="A16" s="52">
        <v>45964.0</v>
      </c>
      <c r="B16" s="53">
        <v>45964.0</v>
      </c>
      <c r="C16" s="55">
        <v>0.0239695995323006</v>
      </c>
      <c r="D16" s="55">
        <v>-0.021428077694062297</v>
      </c>
      <c r="F16" s="71" t="s">
        <v>26</v>
      </c>
      <c r="G16" s="70">
        <f t="shared" ref="G16:H16" si="4">_xlfn.VAR.S(C:C)</f>
        <v>0.0004154218419</v>
      </c>
      <c r="H16" s="70">
        <f t="shared" si="4"/>
        <v>0.0007891201184</v>
      </c>
    </row>
    <row r="17">
      <c r="A17" s="56">
        <v>45957.0</v>
      </c>
      <c r="B17" s="57">
        <v>45957.0</v>
      </c>
      <c r="C17" s="55">
        <v>-0.011557353366079104</v>
      </c>
      <c r="D17" s="55">
        <v>-0.03604744136460569</v>
      </c>
      <c r="F17" s="71" t="s">
        <v>27</v>
      </c>
      <c r="G17" s="70">
        <f t="shared" ref="G17:H17" si="5">_xlfn.STDEV.S(C:C)</f>
        <v>0.02038189986</v>
      </c>
      <c r="H17" s="70">
        <f t="shared" si="5"/>
        <v>0.02809128189</v>
      </c>
    </row>
    <row r="18">
      <c r="A18" s="52">
        <v>45950.0</v>
      </c>
      <c r="B18" s="53">
        <v>45950.0</v>
      </c>
      <c r="C18" s="55">
        <v>0.018540317834019993</v>
      </c>
      <c r="D18" s="55">
        <v>-0.014058599395611493</v>
      </c>
    </row>
    <row r="19">
      <c r="A19" s="56">
        <v>45943.0</v>
      </c>
      <c r="B19" s="57">
        <v>45943.0</v>
      </c>
      <c r="C19" s="55">
        <v>0.02088027640078116</v>
      </c>
      <c r="D19" s="55">
        <v>0.024153939312386408</v>
      </c>
    </row>
    <row r="20">
      <c r="A20" s="52">
        <v>45936.0</v>
      </c>
      <c r="B20" s="53">
        <v>45936.0</v>
      </c>
      <c r="C20" s="55">
        <v>0.005741048496751722</v>
      </c>
      <c r="D20" s="55">
        <v>0.057112375533428184</v>
      </c>
    </row>
    <row r="21">
      <c r="A21" s="56">
        <v>45929.0</v>
      </c>
      <c r="B21" s="57">
        <v>45929.0</v>
      </c>
      <c r="C21" s="55">
        <v>0.015028369881920023</v>
      </c>
      <c r="D21" s="55">
        <v>0.01092896174863367</v>
      </c>
    </row>
    <row r="22">
      <c r="A22" s="52">
        <v>45922.0</v>
      </c>
      <c r="B22" s="53">
        <v>45922.0</v>
      </c>
      <c r="C22" s="55"/>
      <c r="D22" s="55">
        <v>-0.009331148942232192</v>
      </c>
    </row>
    <row r="23">
      <c r="A23" s="56">
        <v>45915.0</v>
      </c>
      <c r="B23" s="57">
        <v>45915.0</v>
      </c>
      <c r="C23" s="55"/>
      <c r="D23" s="55">
        <v>-0.012311805262417375</v>
      </c>
    </row>
    <row r="24">
      <c r="A24" s="52">
        <v>45915.0</v>
      </c>
      <c r="B24" s="53">
        <v>45908.0</v>
      </c>
      <c r="C24" s="55">
        <v>-0.008782556026650679</v>
      </c>
      <c r="D24" s="55"/>
    </row>
    <row r="25">
      <c r="A25" s="56">
        <v>45908.0</v>
      </c>
      <c r="B25" s="57">
        <v>45905.0</v>
      </c>
      <c r="C25" s="55">
        <v>-0.013886814991787233</v>
      </c>
      <c r="D25" s="55"/>
    </row>
    <row r="26">
      <c r="A26" s="52">
        <v>45901.0</v>
      </c>
      <c r="B26" s="53">
        <v>45901.0</v>
      </c>
      <c r="C26" s="55">
        <v>-0.015002206206795043</v>
      </c>
      <c r="D26" s="55">
        <v>-0.015159829880642128</v>
      </c>
    </row>
    <row r="27">
      <c r="A27" s="56">
        <v>45894.0</v>
      </c>
      <c r="B27" s="57">
        <v>45894.0</v>
      </c>
      <c r="C27" s="55">
        <v>-0.016206048328751277</v>
      </c>
      <c r="D27" s="55">
        <v>-0.006609880749574137</v>
      </c>
    </row>
    <row r="28">
      <c r="A28" s="52">
        <v>45887.0</v>
      </c>
      <c r="B28" s="53">
        <v>45887.0</v>
      </c>
      <c r="C28" s="55">
        <v>0.003047895500725595</v>
      </c>
      <c r="D28" s="55">
        <v>-0.005084745762711895</v>
      </c>
    </row>
    <row r="29">
      <c r="A29" s="56">
        <v>45880.0</v>
      </c>
      <c r="B29" s="57">
        <v>45880.0</v>
      </c>
      <c r="C29" s="55">
        <v>-0.006058857472590717</v>
      </c>
      <c r="D29" s="55">
        <v>0.035741872059546376</v>
      </c>
    </row>
    <row r="30">
      <c r="A30" s="52">
        <v>45873.0</v>
      </c>
      <c r="B30" s="53">
        <v>45873.0</v>
      </c>
      <c r="C30" s="55">
        <v>0.02151488358384901</v>
      </c>
      <c r="D30" s="55">
        <v>0.04260926861410064</v>
      </c>
    </row>
    <row r="31">
      <c r="A31" s="56">
        <v>45866.0</v>
      </c>
      <c r="B31" s="57">
        <v>45866.0</v>
      </c>
      <c r="C31" s="55">
        <v>-0.004401408450704136</v>
      </c>
      <c r="D31" s="55">
        <v>-0.029073073642308822</v>
      </c>
    </row>
    <row r="32">
      <c r="A32" s="52">
        <v>45859.0</v>
      </c>
      <c r="B32" s="53">
        <v>45859.0</v>
      </c>
      <c r="C32" s="55">
        <v>-0.009734127560656725</v>
      </c>
      <c r="D32" s="55">
        <v>0.0014236902050115408</v>
      </c>
    </row>
    <row r="33">
      <c r="A33" s="56">
        <v>45852.0</v>
      </c>
      <c r="B33" s="57">
        <v>45852.0</v>
      </c>
      <c r="C33" s="55">
        <v>-2.904865649963062E-4</v>
      </c>
      <c r="D33" s="55">
        <v>0.05902751601960032</v>
      </c>
    </row>
    <row r="34">
      <c r="A34" s="52">
        <v>45845.0</v>
      </c>
      <c r="B34" s="53">
        <v>45845.0</v>
      </c>
      <c r="C34" s="55">
        <v>-0.020765182762053858</v>
      </c>
      <c r="D34" s="55">
        <v>-9.038186337275711E-4</v>
      </c>
    </row>
    <row r="35">
      <c r="A35" s="56">
        <v>45838.0</v>
      </c>
      <c r="B35" s="57">
        <v>45838.0</v>
      </c>
      <c r="C35" s="55">
        <v>0.014427932477276029</v>
      </c>
      <c r="D35" s="55">
        <v>0.03314917127071837</v>
      </c>
    </row>
    <row r="36">
      <c r="A36" s="52">
        <v>45831.0</v>
      </c>
      <c r="B36" s="53">
        <v>45831.0</v>
      </c>
      <c r="C36" s="55">
        <v>0.02166863207547176</v>
      </c>
      <c r="D36" s="55">
        <v>0.015247274450939985</v>
      </c>
    </row>
    <row r="37">
      <c r="A37" s="56">
        <v>45824.0</v>
      </c>
      <c r="B37" s="57">
        <v>45824.0</v>
      </c>
      <c r="C37" s="55"/>
      <c r="D37" s="55">
        <v>-0.013636717836827073</v>
      </c>
    </row>
    <row r="38">
      <c r="A38" s="52">
        <v>45821.0</v>
      </c>
      <c r="B38" s="53">
        <v>45817.0</v>
      </c>
      <c r="C38" s="55"/>
      <c r="D38" s="55"/>
    </row>
    <row r="39">
      <c r="A39" s="56">
        <v>45817.0</v>
      </c>
      <c r="B39" s="57">
        <v>45814.0</v>
      </c>
      <c r="C39" s="55">
        <v>-0.004726439415640216</v>
      </c>
      <c r="D39" s="55"/>
    </row>
    <row r="40">
      <c r="A40" s="52">
        <v>45810.0</v>
      </c>
      <c r="B40" s="53">
        <v>45810.0</v>
      </c>
      <c r="C40" s="55">
        <v>-0.01034727143869607</v>
      </c>
      <c r="D40" s="55">
        <v>-0.010821831869510579</v>
      </c>
    </row>
    <row r="41">
      <c r="A41" s="56">
        <v>45803.0</v>
      </c>
      <c r="B41" s="57">
        <v>45803.0</v>
      </c>
      <c r="C41" s="55">
        <v>0.0045564573544067954</v>
      </c>
      <c r="D41" s="55">
        <v>0.016338566988124636</v>
      </c>
    </row>
    <row r="42">
      <c r="A42" s="52">
        <v>45796.0</v>
      </c>
      <c r="B42" s="53">
        <v>45796.0</v>
      </c>
      <c r="C42" s="55">
        <v>-0.0031227821149751867</v>
      </c>
      <c r="D42" s="55">
        <v>-0.019995313598375364</v>
      </c>
    </row>
    <row r="43">
      <c r="A43" s="56">
        <v>45789.0</v>
      </c>
      <c r="B43" s="57">
        <v>45789.0</v>
      </c>
      <c r="C43" s="55">
        <v>0.021014492753623326</v>
      </c>
      <c r="D43" s="55">
        <v>0.011774932827564255</v>
      </c>
    </row>
    <row r="44">
      <c r="A44" s="52">
        <v>45782.0</v>
      </c>
      <c r="B44" s="53">
        <v>45782.0</v>
      </c>
      <c r="C44" s="55">
        <v>-0.015832263585793704</v>
      </c>
      <c r="D44" s="55">
        <v>-0.024739884393063516</v>
      </c>
    </row>
    <row r="45">
      <c r="A45" s="56">
        <v>45775.0</v>
      </c>
      <c r="B45" s="57">
        <v>45775.0</v>
      </c>
      <c r="C45" s="55">
        <v>-0.0035531552018192025</v>
      </c>
      <c r="D45" s="55">
        <v>0.002782286111755239</v>
      </c>
    </row>
    <row r="46">
      <c r="A46" s="52">
        <v>45768.0</v>
      </c>
      <c r="B46" s="53">
        <v>45768.0</v>
      </c>
      <c r="C46" s="55">
        <v>-0.014979700405991947</v>
      </c>
      <c r="D46" s="55">
        <v>-0.06624810565057382</v>
      </c>
    </row>
    <row r="47">
      <c r="A47" s="56">
        <v>45761.0</v>
      </c>
      <c r="B47" s="57">
        <v>45761.0</v>
      </c>
      <c r="C47" s="55">
        <v>0.02203462584060678</v>
      </c>
      <c r="D47" s="55">
        <v>-0.010991363928342213</v>
      </c>
    </row>
    <row r="48">
      <c r="A48" s="52">
        <v>45754.0</v>
      </c>
      <c r="B48" s="53">
        <v>45754.0</v>
      </c>
      <c r="C48" s="55">
        <v>0.021335671489112862</v>
      </c>
      <c r="D48" s="55">
        <v>-0.01483616931514542</v>
      </c>
    </row>
    <row r="49">
      <c r="A49" s="56">
        <v>45747.0</v>
      </c>
      <c r="B49" s="57">
        <v>45747.0</v>
      </c>
      <c r="C49" s="55">
        <v>-0.006244554167876726</v>
      </c>
      <c r="D49" s="55">
        <v>-0.017817679558011168</v>
      </c>
    </row>
    <row r="50">
      <c r="A50" s="52">
        <v>45740.0</v>
      </c>
      <c r="B50" s="53">
        <v>45740.0</v>
      </c>
      <c r="C50" s="55">
        <v>0.02485488912040479</v>
      </c>
      <c r="D50" s="55">
        <v>0.02622253720765433</v>
      </c>
    </row>
    <row r="51">
      <c r="A51" s="56">
        <v>45733.0</v>
      </c>
      <c r="B51" s="57">
        <v>45733.0</v>
      </c>
      <c r="C51" s="55"/>
      <c r="D51" s="55">
        <v>-0.02109060635493265</v>
      </c>
    </row>
    <row r="52">
      <c r="A52" s="52">
        <v>45730.0</v>
      </c>
      <c r="B52" s="53">
        <v>45726.0</v>
      </c>
      <c r="C52" s="55"/>
      <c r="D52" s="55"/>
    </row>
    <row r="53">
      <c r="A53" s="56">
        <v>45726.0</v>
      </c>
      <c r="B53" s="57">
        <v>45723.0</v>
      </c>
      <c r="C53" s="55">
        <v>-0.031709426347650504</v>
      </c>
      <c r="D53" s="55"/>
    </row>
    <row r="54">
      <c r="A54" s="52">
        <v>45719.0</v>
      </c>
      <c r="B54" s="53">
        <v>45719.0</v>
      </c>
      <c r="C54" s="55">
        <v>0.00303599826514378</v>
      </c>
      <c r="D54" s="55">
        <v>0.006369858372297976</v>
      </c>
    </row>
    <row r="55">
      <c r="A55" s="56">
        <v>45712.0</v>
      </c>
      <c r="B55" s="57">
        <v>45712.0</v>
      </c>
      <c r="C55" s="55">
        <v>-0.002019910546818604</v>
      </c>
      <c r="D55" s="55">
        <v>-2.032520325203624E-4</v>
      </c>
    </row>
    <row r="56">
      <c r="A56" s="52">
        <v>45705.0</v>
      </c>
      <c r="B56" s="53">
        <v>45705.0</v>
      </c>
      <c r="C56" s="55">
        <v>0.03602391629297452</v>
      </c>
      <c r="D56" s="55">
        <v>0.07049608355091386</v>
      </c>
    </row>
    <row r="57">
      <c r="A57" s="56">
        <v>45698.0</v>
      </c>
      <c r="B57" s="57">
        <v>45698.0</v>
      </c>
      <c r="C57" s="55">
        <v>0.07885824866956948</v>
      </c>
      <c r="D57" s="55">
        <v>-0.008200258955546103</v>
      </c>
    </row>
    <row r="58">
      <c r="A58" s="59">
        <v>45691.0</v>
      </c>
      <c r="B58" s="60">
        <v>45691.0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2" t="s">
        <v>1</v>
      </c>
      <c r="B1" s="51" t="s">
        <v>6</v>
      </c>
    </row>
    <row r="2">
      <c r="A2" s="72">
        <v>46059.0</v>
      </c>
      <c r="B2" s="73">
        <v>6932.3</v>
      </c>
    </row>
    <row r="3">
      <c r="A3" s="72">
        <v>46055.0</v>
      </c>
      <c r="B3" s="73">
        <v>6932.3</v>
      </c>
      <c r="D3" s="74" t="s">
        <v>28</v>
      </c>
    </row>
    <row r="4">
      <c r="A4" s="72">
        <v>46048.0</v>
      </c>
      <c r="B4" s="73">
        <v>6939.03</v>
      </c>
      <c r="D4" s="75" t="s">
        <v>29</v>
      </c>
    </row>
    <row r="5">
      <c r="A5" s="72">
        <v>46041.0</v>
      </c>
      <c r="B5" s="73">
        <v>6915.61</v>
      </c>
      <c r="D5" s="75" t="s">
        <v>30</v>
      </c>
    </row>
    <row r="6">
      <c r="A6" s="72">
        <v>46034.0</v>
      </c>
      <c r="B6" s="73">
        <v>6940.01</v>
      </c>
      <c r="D6" s="75" t="s">
        <v>31</v>
      </c>
    </row>
    <row r="7">
      <c r="A7" s="72">
        <v>46027.0</v>
      </c>
      <c r="B7" s="73">
        <v>6966.28</v>
      </c>
      <c r="D7" s="75" t="s">
        <v>32</v>
      </c>
    </row>
    <row r="8">
      <c r="A8" s="72">
        <v>46020.0</v>
      </c>
      <c r="B8" s="73">
        <v>6858.47</v>
      </c>
    </row>
    <row r="9">
      <c r="A9" s="72">
        <v>46013.0</v>
      </c>
      <c r="B9" s="73">
        <v>6929.94</v>
      </c>
    </row>
    <row r="10">
      <c r="A10" s="72">
        <v>46006.0</v>
      </c>
      <c r="B10" s="73">
        <v>6834.5</v>
      </c>
    </row>
    <row r="11">
      <c r="A11" s="72">
        <v>45999.0</v>
      </c>
      <c r="B11" s="73">
        <v>6827.41</v>
      </c>
    </row>
    <row r="12">
      <c r="A12" s="72">
        <v>45992.0</v>
      </c>
      <c r="B12" s="73">
        <v>6870.4</v>
      </c>
    </row>
    <row r="13">
      <c r="A13" s="72">
        <v>45985.0</v>
      </c>
      <c r="B13" s="73">
        <v>6849.09</v>
      </c>
    </row>
    <row r="14">
      <c r="A14" s="72">
        <v>45978.0</v>
      </c>
      <c r="B14" s="73">
        <v>6602.99</v>
      </c>
    </row>
    <row r="15">
      <c r="A15" s="72">
        <v>45971.0</v>
      </c>
      <c r="B15" s="73">
        <v>6734.11</v>
      </c>
    </row>
    <row r="16">
      <c r="A16" s="72">
        <v>45964.0</v>
      </c>
      <c r="B16" s="73">
        <v>6728.8</v>
      </c>
    </row>
    <row r="17">
      <c r="A17" s="72">
        <v>45957.0</v>
      </c>
      <c r="B17" s="73">
        <v>6840.2</v>
      </c>
    </row>
    <row r="18">
      <c r="A18" s="72">
        <v>45950.0</v>
      </c>
      <c r="B18" s="73">
        <v>6791.69</v>
      </c>
    </row>
    <row r="19">
      <c r="A19" s="72">
        <v>45943.0</v>
      </c>
      <c r="B19" s="73">
        <v>6664.01</v>
      </c>
    </row>
    <row r="20">
      <c r="A20" s="72">
        <v>45936.0</v>
      </c>
      <c r="B20" s="73">
        <v>6552.51</v>
      </c>
    </row>
    <row r="21">
      <c r="A21" s="72">
        <v>45929.0</v>
      </c>
      <c r="B21" s="73">
        <v>6715.79</v>
      </c>
    </row>
    <row r="22">
      <c r="A22" s="72">
        <v>45922.0</v>
      </c>
      <c r="B22" s="73">
        <v>6643.7</v>
      </c>
    </row>
    <row r="23">
      <c r="A23" s="72">
        <v>45915.0</v>
      </c>
      <c r="B23" s="73">
        <v>6664.36</v>
      </c>
    </row>
    <row r="24">
      <c r="A24" s="72">
        <v>45908.0</v>
      </c>
      <c r="B24" s="73">
        <v>6584.29</v>
      </c>
    </row>
    <row r="25">
      <c r="A25" s="72">
        <v>45901.0</v>
      </c>
      <c r="B25" s="73">
        <v>6481.5</v>
      </c>
    </row>
    <row r="26">
      <c r="A26" s="72">
        <v>45894.0</v>
      </c>
      <c r="B26" s="73">
        <v>6460.26</v>
      </c>
    </row>
    <row r="27">
      <c r="A27" s="72">
        <v>45887.0</v>
      </c>
      <c r="B27" s="73">
        <v>6466.91</v>
      </c>
    </row>
    <row r="28">
      <c r="A28" s="72">
        <v>45880.0</v>
      </c>
      <c r="B28" s="73">
        <v>6449.8</v>
      </c>
    </row>
    <row r="29">
      <c r="A29" s="72">
        <v>45873.0</v>
      </c>
      <c r="B29" s="73">
        <v>6389.45</v>
      </c>
    </row>
    <row r="30">
      <c r="A30" s="72">
        <v>45866.0</v>
      </c>
      <c r="B30" s="73">
        <v>6238.01</v>
      </c>
    </row>
    <row r="31">
      <c r="A31" s="72">
        <v>45859.0</v>
      </c>
      <c r="B31" s="73">
        <v>6388.64</v>
      </c>
    </row>
    <row r="32">
      <c r="A32" s="72">
        <v>45852.0</v>
      </c>
      <c r="B32" s="73">
        <v>6296.79</v>
      </c>
    </row>
    <row r="33">
      <c r="A33" s="72">
        <v>45845.0</v>
      </c>
      <c r="B33" s="73">
        <v>6259.75</v>
      </c>
    </row>
    <row r="34">
      <c r="A34" s="72">
        <v>45838.0</v>
      </c>
      <c r="B34" s="73">
        <v>6279.35</v>
      </c>
    </row>
    <row r="35">
      <c r="A35" s="72">
        <v>45831.0</v>
      </c>
      <c r="B35" s="73">
        <v>6173.07</v>
      </c>
    </row>
    <row r="36">
      <c r="A36" s="72">
        <v>45824.0</v>
      </c>
      <c r="B36" s="73">
        <v>5967.84</v>
      </c>
    </row>
    <row r="37">
      <c r="A37" s="72">
        <v>45817.0</v>
      </c>
      <c r="B37" s="73">
        <v>5976.97</v>
      </c>
    </row>
    <row r="38">
      <c r="A38" s="72">
        <v>45810.0</v>
      </c>
      <c r="B38" s="73">
        <v>6000.36</v>
      </c>
    </row>
    <row r="39">
      <c r="A39" s="72">
        <v>45803.0</v>
      </c>
      <c r="B39" s="73">
        <v>5911.69</v>
      </c>
    </row>
    <row r="40">
      <c r="A40" s="72">
        <v>45796.0</v>
      </c>
      <c r="B40" s="73">
        <v>5802.82</v>
      </c>
    </row>
    <row r="41">
      <c r="A41" s="72">
        <v>45789.0</v>
      </c>
      <c r="B41" s="73">
        <v>5958.38</v>
      </c>
    </row>
    <row r="42">
      <c r="A42" s="72">
        <v>45782.0</v>
      </c>
      <c r="B42" s="73">
        <v>5659.91</v>
      </c>
    </row>
    <row r="43">
      <c r="A43" s="72">
        <v>45775.0</v>
      </c>
      <c r="B43" s="73">
        <v>5686.67</v>
      </c>
    </row>
    <row r="44">
      <c r="A44" s="72">
        <v>45768.0</v>
      </c>
      <c r="B44" s="73">
        <v>5525.21</v>
      </c>
    </row>
    <row r="45">
      <c r="A45" s="72">
        <v>45761.0</v>
      </c>
      <c r="B45" s="73">
        <v>5282.7</v>
      </c>
    </row>
    <row r="46">
      <c r="A46" s="72">
        <v>45754.0</v>
      </c>
      <c r="B46" s="73">
        <v>5363.36</v>
      </c>
    </row>
    <row r="47">
      <c r="A47" s="72">
        <v>45747.0</v>
      </c>
      <c r="B47" s="73">
        <v>5074.08</v>
      </c>
    </row>
    <row r="48">
      <c r="A48" s="72">
        <v>45740.0</v>
      </c>
      <c r="B48" s="73">
        <v>5580.94</v>
      </c>
    </row>
    <row r="49">
      <c r="A49" s="72">
        <v>45733.0</v>
      </c>
      <c r="B49" s="73">
        <v>5667.56</v>
      </c>
    </row>
    <row r="50">
      <c r="A50" s="72">
        <v>45726.0</v>
      </c>
      <c r="B50" s="73">
        <v>5638.94</v>
      </c>
    </row>
    <row r="51">
      <c r="A51" s="72">
        <v>45719.0</v>
      </c>
      <c r="B51" s="73">
        <v>5770.2</v>
      </c>
    </row>
    <row r="52">
      <c r="A52" s="72">
        <v>45712.0</v>
      </c>
      <c r="B52" s="73">
        <v>5954.5</v>
      </c>
    </row>
    <row r="53">
      <c r="A53" s="72">
        <v>45705.0</v>
      </c>
      <c r="B53" s="73">
        <v>6013.13</v>
      </c>
    </row>
    <row r="54">
      <c r="A54" s="72">
        <v>45698.0</v>
      </c>
      <c r="B54" s="73">
        <v>6114.63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s>
  <sheetData>
    <row r="1" ht="49.5" customHeight="1">
      <c r="A1" s="76" t="s">
        <v>33</v>
      </c>
      <c r="B1" s="77" t="s">
        <v>16</v>
      </c>
      <c r="C1" s="78" t="s">
        <v>17</v>
      </c>
      <c r="E1" s="79"/>
      <c r="F1" s="80" t="s">
        <v>34</v>
      </c>
      <c r="G1" s="81" t="s">
        <v>35</v>
      </c>
    </row>
    <row r="2">
      <c r="A2" s="82"/>
      <c r="B2" s="83"/>
      <c r="C2" s="83"/>
      <c r="E2" s="84" t="s">
        <v>24</v>
      </c>
      <c r="F2" s="85">
        <f t="shared" ref="F2:G2" si="1">AVERAGE(B:B)</f>
        <v>0.004540438598</v>
      </c>
      <c r="G2" s="86">
        <f t="shared" si="1"/>
        <v>0.002153754278</v>
      </c>
    </row>
    <row r="3">
      <c r="A3" s="87" t="s">
        <v>36</v>
      </c>
      <c r="B3" s="88">
        <v>0.006950942387381254</v>
      </c>
      <c r="C3" s="88">
        <v>0.01021935819826858</v>
      </c>
      <c r="E3" s="84" t="s">
        <v>25</v>
      </c>
      <c r="F3" s="89">
        <f t="shared" ref="F3:G3" si="2">AVEDEV(B:B)*56/55</f>
        <v>0.01599552981</v>
      </c>
      <c r="G3" s="89">
        <f t="shared" si="2"/>
        <v>0.02238000907</v>
      </c>
    </row>
    <row r="4">
      <c r="A4" s="90" t="s">
        <v>37</v>
      </c>
      <c r="B4" s="88">
        <v>0.0264818880351263</v>
      </c>
      <c r="C4" s="88">
        <v>0.06259510305713079</v>
      </c>
      <c r="E4" s="84" t="s">
        <v>26</v>
      </c>
      <c r="F4" s="89">
        <f>_xlfn.VAR.S(B:B)</f>
        <v>0.0004154218419</v>
      </c>
      <c r="G4" s="89">
        <f>_xlfn.VAR.S(C2:C53)</f>
        <v>0.0007489774982</v>
      </c>
    </row>
    <row r="5">
      <c r="A5" s="90" t="s">
        <v>38</v>
      </c>
      <c r="B5" s="88">
        <v>0.03463940942646215</v>
      </c>
      <c r="C5" s="88">
        <v>-0.011891744122471182</v>
      </c>
      <c r="E5" s="84" t="s">
        <v>27</v>
      </c>
      <c r="F5" s="91">
        <f t="shared" ref="F5:G5" si="3">_xlfn.STDEV.S(B:B)</f>
        <v>0.02038189986</v>
      </c>
      <c r="G5" s="89">
        <f t="shared" si="3"/>
        <v>0.02809128189</v>
      </c>
    </row>
    <row r="6">
      <c r="A6" s="90" t="s">
        <v>39</v>
      </c>
      <c r="B6" s="88">
        <v>-9.927669834066677E-4</v>
      </c>
      <c r="C6" s="88">
        <v>0.04581516689300269</v>
      </c>
    </row>
    <row r="7">
      <c r="A7" s="90" t="s">
        <v>40</v>
      </c>
      <c r="B7" s="88">
        <v>0.02010995370370372</v>
      </c>
      <c r="C7" s="88">
        <v>-0.01631160795893971</v>
      </c>
    </row>
    <row r="8">
      <c r="A8" s="90" t="s">
        <v>41</v>
      </c>
      <c r="B8" s="88">
        <v>-0.010734220695577501</v>
      </c>
      <c r="C8" s="88">
        <v>-0.010780358881624763</v>
      </c>
      <c r="E8" s="51" t="s">
        <v>42</v>
      </c>
    </row>
    <row r="9">
      <c r="A9" s="90" t="s">
        <v>43</v>
      </c>
      <c r="B9" s="88">
        <v>-0.002711961176134703</v>
      </c>
      <c r="C9" s="88">
        <v>-0.029562634989200864</v>
      </c>
    </row>
    <row r="10">
      <c r="A10" s="90" t="s">
        <v>44</v>
      </c>
      <c r="B10" s="88">
        <v>-0.006522972206466138</v>
      </c>
      <c r="C10" s="88">
        <v>-0.0165283770328577</v>
      </c>
      <c r="E10" s="51" t="s">
        <v>45</v>
      </c>
    </row>
    <row r="11">
      <c r="A11" s="90" t="s">
        <v>46</v>
      </c>
      <c r="B11" s="88"/>
      <c r="C11" s="88"/>
    </row>
    <row r="12">
      <c r="A12" s="90" t="s">
        <v>47</v>
      </c>
      <c r="B12" s="88"/>
      <c r="C12" s="88"/>
      <c r="E12" s="51" t="s">
        <v>48</v>
      </c>
    </row>
    <row r="13">
      <c r="A13" s="90" t="s">
        <v>49</v>
      </c>
      <c r="B13" s="88">
        <v>-0.04269384382316477</v>
      </c>
      <c r="C13" s="88">
        <v>-0.02498302783435169</v>
      </c>
    </row>
    <row r="14">
      <c r="A14" s="90" t="s">
        <v>50</v>
      </c>
      <c r="B14" s="88">
        <v>0.0023467697404748744</v>
      </c>
      <c r="C14" s="88">
        <v>0.016492995652473974</v>
      </c>
    </row>
    <row r="15">
      <c r="A15" s="90" t="s">
        <v>51</v>
      </c>
      <c r="B15" s="88">
        <v>0.025191055759977266</v>
      </c>
      <c r="C15" s="88">
        <v>0.003253946275270092</v>
      </c>
    </row>
    <row r="16">
      <c r="A16" s="90" t="s">
        <v>52</v>
      </c>
      <c r="B16" s="88">
        <v>0.008564087924636032</v>
      </c>
      <c r="C16" s="88">
        <v>0.020272656636292963</v>
      </c>
    </row>
    <row r="17">
      <c r="A17" s="90" t="s">
        <v>53</v>
      </c>
      <c r="B17" s="88">
        <v>0.0239695995323006</v>
      </c>
      <c r="C17" s="88">
        <v>-0.021428077694062297</v>
      </c>
    </row>
    <row r="18">
      <c r="A18" s="90" t="s">
        <v>54</v>
      </c>
      <c r="B18" s="88">
        <v>-0.011557353366079104</v>
      </c>
      <c r="C18" s="88">
        <v>-0.03604744136460569</v>
      </c>
    </row>
    <row r="19">
      <c r="A19" s="90" t="s">
        <v>55</v>
      </c>
      <c r="B19" s="88">
        <v>0.018540317834019993</v>
      </c>
      <c r="C19" s="88">
        <v>-0.014058599395611493</v>
      </c>
    </row>
    <row r="20">
      <c r="A20" s="90" t="s">
        <v>56</v>
      </c>
      <c r="B20" s="88">
        <v>0.02088027640078116</v>
      </c>
      <c r="C20" s="88">
        <v>0.024153939312386408</v>
      </c>
    </row>
    <row r="21">
      <c r="A21" s="90" t="s">
        <v>57</v>
      </c>
      <c r="B21" s="88">
        <v>0.005741048496751722</v>
      </c>
      <c r="C21" s="88">
        <v>0.057112375533428184</v>
      </c>
    </row>
    <row r="22">
      <c r="A22" s="90" t="s">
        <v>58</v>
      </c>
      <c r="B22" s="88">
        <v>0.015028369881920023</v>
      </c>
      <c r="C22" s="88">
        <v>0.01092896174863367</v>
      </c>
    </row>
    <row r="23">
      <c r="A23" s="90" t="s">
        <v>59</v>
      </c>
      <c r="B23" s="88"/>
      <c r="C23" s="88">
        <v>-0.009331148942232192</v>
      </c>
    </row>
    <row r="24">
      <c r="A24" s="90" t="s">
        <v>60</v>
      </c>
      <c r="B24" s="88"/>
      <c r="C24" s="88">
        <v>-0.012311805262417375</v>
      </c>
    </row>
    <row r="25">
      <c r="A25" s="90" t="s">
        <v>61</v>
      </c>
      <c r="B25" s="88">
        <v>-0.008782556026650679</v>
      </c>
      <c r="C25" s="88"/>
    </row>
    <row r="26">
      <c r="A26" s="90" t="s">
        <v>62</v>
      </c>
      <c r="B26" s="88">
        <v>-0.013886814991787233</v>
      </c>
      <c r="C26" s="88"/>
    </row>
    <row r="27">
      <c r="A27" s="90" t="s">
        <v>63</v>
      </c>
      <c r="B27" s="88">
        <v>-0.015002206206795043</v>
      </c>
      <c r="C27" s="88">
        <v>-0.015159829880642128</v>
      </c>
    </row>
    <row r="28">
      <c r="A28" s="90" t="s">
        <v>64</v>
      </c>
      <c r="B28" s="88">
        <v>-0.016206048328751277</v>
      </c>
      <c r="C28" s="88">
        <v>-0.006609880749574137</v>
      </c>
    </row>
    <row r="29">
      <c r="A29" s="90" t="s">
        <v>65</v>
      </c>
      <c r="B29" s="88">
        <v>0.003047895500725595</v>
      </c>
      <c r="C29" s="88">
        <v>-0.005084745762711895</v>
      </c>
    </row>
    <row r="30">
      <c r="A30" s="90" t="s">
        <v>66</v>
      </c>
      <c r="B30" s="88">
        <v>-0.006058857472590717</v>
      </c>
      <c r="C30" s="88">
        <v>0.035741872059546376</v>
      </c>
    </row>
    <row r="31">
      <c r="A31" s="90" t="s">
        <v>67</v>
      </c>
      <c r="B31" s="88">
        <v>0.02151488358384901</v>
      </c>
      <c r="C31" s="88">
        <v>0.04260926861410064</v>
      </c>
    </row>
    <row r="32">
      <c r="A32" s="90" t="s">
        <v>68</v>
      </c>
      <c r="B32" s="88">
        <v>-0.004401408450704136</v>
      </c>
      <c r="C32" s="88">
        <v>-0.029073073642308822</v>
      </c>
    </row>
    <row r="33">
      <c r="A33" s="90" t="s">
        <v>69</v>
      </c>
      <c r="B33" s="88">
        <v>-0.009734127560656725</v>
      </c>
      <c r="C33" s="88">
        <v>0.0014236902050115408</v>
      </c>
    </row>
    <row r="34">
      <c r="A34" s="90" t="s">
        <v>70</v>
      </c>
      <c r="B34" s="88">
        <v>-2.904865649963062E-4</v>
      </c>
      <c r="C34" s="88">
        <v>0.05902751601960032</v>
      </c>
    </row>
    <row r="35">
      <c r="A35" s="90" t="s">
        <v>71</v>
      </c>
      <c r="B35" s="88">
        <v>-0.020765182762053858</v>
      </c>
      <c r="C35" s="88">
        <v>-9.038186337275711E-4</v>
      </c>
    </row>
    <row r="36">
      <c r="A36" s="90" t="s">
        <v>72</v>
      </c>
      <c r="B36" s="88">
        <v>0.014427932477276029</v>
      </c>
      <c r="C36" s="88">
        <v>0.03314917127071837</v>
      </c>
    </row>
    <row r="37">
      <c r="A37" s="90" t="s">
        <v>73</v>
      </c>
      <c r="B37" s="88">
        <v>0.02166863207547176</v>
      </c>
      <c r="C37" s="88">
        <v>0.015247274450939985</v>
      </c>
    </row>
    <row r="38">
      <c r="A38" s="90" t="s">
        <v>74</v>
      </c>
      <c r="B38" s="88"/>
      <c r="C38" s="88">
        <v>-0.013636717836827073</v>
      </c>
    </row>
    <row r="39">
      <c r="A39" s="90" t="s">
        <v>75</v>
      </c>
      <c r="B39" s="88"/>
      <c r="C39" s="88"/>
    </row>
    <row r="40">
      <c r="A40" s="90" t="s">
        <v>76</v>
      </c>
      <c r="B40" s="88">
        <v>-0.004726439415640216</v>
      </c>
      <c r="C40" s="88"/>
    </row>
    <row r="41">
      <c r="A41" s="90" t="s">
        <v>77</v>
      </c>
      <c r="B41" s="88">
        <v>-0.01034727143869607</v>
      </c>
      <c r="C41" s="88">
        <v>-0.010821831869510579</v>
      </c>
    </row>
    <row r="42">
      <c r="A42" s="90" t="s">
        <v>78</v>
      </c>
      <c r="B42" s="88">
        <v>0.0045564573544067954</v>
      </c>
      <c r="C42" s="88">
        <v>0.016338566988124636</v>
      </c>
    </row>
    <row r="43">
      <c r="A43" s="90" t="s">
        <v>79</v>
      </c>
      <c r="B43" s="88">
        <v>-0.0031227821149751867</v>
      </c>
      <c r="C43" s="88">
        <v>-0.019995313598375364</v>
      </c>
    </row>
    <row r="44">
      <c r="A44" s="90" t="s">
        <v>80</v>
      </c>
      <c r="B44" s="88">
        <v>0.021014492753623326</v>
      </c>
      <c r="C44" s="88">
        <v>0.011774932827564255</v>
      </c>
    </row>
    <row r="45">
      <c r="A45" s="90" t="s">
        <v>81</v>
      </c>
      <c r="B45" s="88">
        <v>-0.015832263585793704</v>
      </c>
      <c r="C45" s="88">
        <v>-0.024739884393063516</v>
      </c>
    </row>
    <row r="46">
      <c r="A46" s="90" t="s">
        <v>82</v>
      </c>
      <c r="B46" s="88">
        <v>-0.0035531552018192025</v>
      </c>
      <c r="C46" s="88">
        <v>0.002782286111755239</v>
      </c>
    </row>
    <row r="47">
      <c r="A47" s="90" t="s">
        <v>83</v>
      </c>
      <c r="B47" s="88">
        <v>-0.014979700405991947</v>
      </c>
      <c r="C47" s="88">
        <v>-0.06624810565057382</v>
      </c>
    </row>
    <row r="48">
      <c r="A48" s="90" t="s">
        <v>84</v>
      </c>
      <c r="B48" s="88">
        <v>0.02203462584060678</v>
      </c>
      <c r="C48" s="88">
        <v>-0.010991363928342213</v>
      </c>
    </row>
    <row r="49">
      <c r="A49" s="90" t="s">
        <v>85</v>
      </c>
      <c r="B49" s="88">
        <v>0.021335671489112862</v>
      </c>
      <c r="C49" s="88">
        <v>-0.01483616931514542</v>
      </c>
    </row>
    <row r="50">
      <c r="A50" s="90" t="s">
        <v>86</v>
      </c>
      <c r="B50" s="88">
        <v>-0.006244554167876726</v>
      </c>
      <c r="C50" s="88">
        <v>-0.017817679558011168</v>
      </c>
    </row>
    <row r="51">
      <c r="A51" s="90" t="s">
        <v>87</v>
      </c>
      <c r="B51" s="88">
        <v>0.02485488912040479</v>
      </c>
      <c r="C51" s="88">
        <v>0.02622253720765433</v>
      </c>
    </row>
    <row r="52">
      <c r="A52" s="90" t="s">
        <v>88</v>
      </c>
      <c r="B52" s="88"/>
      <c r="C52" s="88">
        <v>-0.02109060635493265</v>
      </c>
    </row>
    <row r="53">
      <c r="A53" s="90" t="s">
        <v>89</v>
      </c>
      <c r="B53" s="88"/>
      <c r="C53" s="88"/>
    </row>
    <row r="54">
      <c r="A54" s="90" t="s">
        <v>90</v>
      </c>
      <c r="B54" s="88">
        <v>-0.031709426347650504</v>
      </c>
      <c r="C54" s="88"/>
    </row>
    <row r="55">
      <c r="A55" s="90" t="s">
        <v>91</v>
      </c>
      <c r="B55" s="88">
        <v>0.00303599826514378</v>
      </c>
      <c r="C55" s="88">
        <v>0.006369858372297976</v>
      </c>
    </row>
    <row r="56">
      <c r="A56" s="90" t="s">
        <v>92</v>
      </c>
      <c r="B56" s="88">
        <v>-0.002019910546818604</v>
      </c>
      <c r="C56" s="88">
        <v>-2.032520325203624E-4</v>
      </c>
    </row>
    <row r="57">
      <c r="A57" s="90" t="s">
        <v>93</v>
      </c>
      <c r="B57" s="88">
        <v>0.03602391629297452</v>
      </c>
      <c r="C57" s="88">
        <v>0.07049608355091386</v>
      </c>
    </row>
    <row r="58">
      <c r="A58" s="90">
        <v>56.0</v>
      </c>
      <c r="B58" s="88">
        <v>0.07885824866956948</v>
      </c>
      <c r="C58" s="88">
        <v>-0.008200258955546103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s>
  <sheetData>
    <row r="1">
      <c r="A1" s="76" t="s">
        <v>33</v>
      </c>
      <c r="B1" s="77" t="s">
        <v>16</v>
      </c>
      <c r="C1" s="78" t="s">
        <v>17</v>
      </c>
      <c r="E1" s="92"/>
      <c r="F1" s="93" t="s">
        <v>34</v>
      </c>
      <c r="G1" s="94" t="s">
        <v>35</v>
      </c>
    </row>
    <row r="2">
      <c r="A2" s="82"/>
      <c r="B2" s="83"/>
      <c r="C2" s="83"/>
      <c r="E2" s="95" t="s">
        <v>24</v>
      </c>
      <c r="F2" s="96">
        <f t="shared" ref="F2:G2" si="1">AVERAGE(B:B)</f>
        <v>0.004540438598</v>
      </c>
      <c r="G2" s="97">
        <f t="shared" si="1"/>
        <v>0.002153754278</v>
      </c>
    </row>
    <row r="3">
      <c r="A3" s="87" t="s">
        <v>36</v>
      </c>
      <c r="B3" s="88">
        <v>0.006950942387381254</v>
      </c>
      <c r="C3" s="88">
        <v>0.01021935819826858</v>
      </c>
      <c r="E3" s="95" t="s">
        <v>25</v>
      </c>
      <c r="F3" s="98">
        <f t="shared" ref="F3:G3" si="2">AVEDEV(B:B)*56/55</f>
        <v>0.01599552981</v>
      </c>
      <c r="G3" s="98">
        <f t="shared" si="2"/>
        <v>0.02238000907</v>
      </c>
    </row>
    <row r="4">
      <c r="A4" s="90" t="s">
        <v>37</v>
      </c>
      <c r="B4" s="88">
        <v>0.0264818880351263</v>
      </c>
      <c r="C4" s="88">
        <v>0.06259510305713079</v>
      </c>
      <c r="E4" s="95" t="s">
        <v>26</v>
      </c>
      <c r="F4" s="98">
        <f>_xlfn.VAR.S(B:B)</f>
        <v>0.0004154218419</v>
      </c>
      <c r="G4" s="98">
        <f>_xlfn.VAR.S(C2:C53)</f>
        <v>0.0007489774982</v>
      </c>
    </row>
    <row r="5">
      <c r="A5" s="90" t="s">
        <v>38</v>
      </c>
      <c r="B5" s="88">
        <v>0.03463940942646215</v>
      </c>
      <c r="C5" s="88">
        <v>-0.011891744122471182</v>
      </c>
      <c r="E5" s="95" t="s">
        <v>27</v>
      </c>
      <c r="F5" s="99">
        <f t="shared" ref="F5:G5" si="3">_xlfn.STDEV.S(B:B)</f>
        <v>0.02038189986</v>
      </c>
      <c r="G5" s="98">
        <f t="shared" si="3"/>
        <v>0.02809128189</v>
      </c>
    </row>
    <row r="6">
      <c r="A6" s="90" t="s">
        <v>39</v>
      </c>
      <c r="B6" s="88">
        <v>-9.927669834066677E-4</v>
      </c>
      <c r="C6" s="88">
        <v>0.04581516689300269</v>
      </c>
      <c r="E6" s="100" t="s">
        <v>94</v>
      </c>
      <c r="F6" s="101">
        <f t="shared" ref="F6:G6" si="4">F5/F2</f>
        <v>4.488971587</v>
      </c>
      <c r="G6" s="101">
        <f t="shared" si="4"/>
        <v>13.04293725</v>
      </c>
      <c r="H6" s="102"/>
    </row>
    <row r="7">
      <c r="A7" s="90" t="s">
        <v>40</v>
      </c>
      <c r="B7" s="88">
        <v>0.02010995370370372</v>
      </c>
      <c r="C7" s="88">
        <v>-0.01631160795893971</v>
      </c>
    </row>
    <row r="8">
      <c r="A8" s="90" t="s">
        <v>41</v>
      </c>
      <c r="B8" s="88">
        <v>-0.010734220695577501</v>
      </c>
      <c r="C8" s="88">
        <v>-0.010780358881624763</v>
      </c>
    </row>
    <row r="9">
      <c r="A9" s="90" t="s">
        <v>43</v>
      </c>
      <c r="B9" s="88">
        <v>-0.002711961176134703</v>
      </c>
      <c r="C9" s="88">
        <v>-0.029562634989200864</v>
      </c>
    </row>
    <row r="10">
      <c r="A10" s="90" t="s">
        <v>44</v>
      </c>
      <c r="B10" s="88">
        <v>-0.006522972206466138</v>
      </c>
      <c r="C10" s="88">
        <v>-0.0165283770328577</v>
      </c>
    </row>
    <row r="11">
      <c r="A11" s="90" t="s">
        <v>46</v>
      </c>
      <c r="B11" s="88"/>
      <c r="C11" s="88"/>
    </row>
    <row r="12">
      <c r="A12" s="90" t="s">
        <v>47</v>
      </c>
      <c r="B12" s="88"/>
      <c r="C12" s="88"/>
    </row>
    <row r="13">
      <c r="A13" s="90" t="s">
        <v>49</v>
      </c>
      <c r="B13" s="88">
        <v>-0.04269384382316477</v>
      </c>
      <c r="C13" s="88">
        <v>-0.02498302783435169</v>
      </c>
    </row>
    <row r="14">
      <c r="A14" s="90" t="s">
        <v>50</v>
      </c>
      <c r="B14" s="88">
        <v>0.0023467697404748744</v>
      </c>
      <c r="C14" s="88">
        <v>0.016492995652473974</v>
      </c>
    </row>
    <row r="15">
      <c r="A15" s="90" t="s">
        <v>51</v>
      </c>
      <c r="B15" s="88">
        <v>0.025191055759977266</v>
      </c>
      <c r="C15" s="88">
        <v>0.003253946275270092</v>
      </c>
    </row>
    <row r="16">
      <c r="A16" s="90" t="s">
        <v>52</v>
      </c>
      <c r="B16" s="88">
        <v>0.008564087924636032</v>
      </c>
      <c r="C16" s="88">
        <v>0.020272656636292963</v>
      </c>
    </row>
    <row r="17">
      <c r="A17" s="90" t="s">
        <v>53</v>
      </c>
      <c r="B17" s="88">
        <v>0.0239695995323006</v>
      </c>
      <c r="C17" s="88">
        <v>-0.021428077694062297</v>
      </c>
    </row>
    <row r="18">
      <c r="A18" s="90" t="s">
        <v>54</v>
      </c>
      <c r="B18" s="88">
        <v>-0.011557353366079104</v>
      </c>
      <c r="C18" s="88">
        <v>-0.03604744136460569</v>
      </c>
    </row>
    <row r="19">
      <c r="A19" s="90" t="s">
        <v>55</v>
      </c>
      <c r="B19" s="88">
        <v>0.018540317834019993</v>
      </c>
      <c r="C19" s="88">
        <v>-0.014058599395611493</v>
      </c>
    </row>
    <row r="20">
      <c r="A20" s="90" t="s">
        <v>56</v>
      </c>
      <c r="B20" s="88">
        <v>0.02088027640078116</v>
      </c>
      <c r="C20" s="88">
        <v>0.024153939312386408</v>
      </c>
    </row>
    <row r="21">
      <c r="A21" s="90" t="s">
        <v>57</v>
      </c>
      <c r="B21" s="88">
        <v>0.005741048496751722</v>
      </c>
      <c r="C21" s="88">
        <v>0.057112375533428184</v>
      </c>
    </row>
    <row r="22">
      <c r="A22" s="90" t="s">
        <v>58</v>
      </c>
      <c r="B22" s="88">
        <v>0.015028369881920023</v>
      </c>
      <c r="C22" s="88">
        <v>0.01092896174863367</v>
      </c>
    </row>
    <row r="23">
      <c r="A23" s="90" t="s">
        <v>59</v>
      </c>
      <c r="B23" s="88"/>
      <c r="C23" s="88">
        <v>-0.009331148942232192</v>
      </c>
    </row>
    <row r="24">
      <c r="A24" s="90" t="s">
        <v>60</v>
      </c>
      <c r="B24" s="88"/>
      <c r="C24" s="88">
        <v>-0.012311805262417375</v>
      </c>
    </row>
    <row r="25">
      <c r="A25" s="90" t="s">
        <v>61</v>
      </c>
      <c r="B25" s="88">
        <v>-0.008782556026650679</v>
      </c>
      <c r="C25" s="88"/>
    </row>
    <row r="26">
      <c r="A26" s="90" t="s">
        <v>62</v>
      </c>
      <c r="B26" s="88">
        <v>-0.013886814991787233</v>
      </c>
      <c r="C26" s="88"/>
    </row>
    <row r="27">
      <c r="A27" s="90" t="s">
        <v>63</v>
      </c>
      <c r="B27" s="88">
        <v>-0.015002206206795043</v>
      </c>
      <c r="C27" s="88">
        <v>-0.015159829880642128</v>
      </c>
    </row>
    <row r="28">
      <c r="A28" s="90" t="s">
        <v>64</v>
      </c>
      <c r="B28" s="88">
        <v>-0.016206048328751277</v>
      </c>
      <c r="C28" s="88">
        <v>-0.006609880749574137</v>
      </c>
    </row>
    <row r="29">
      <c r="A29" s="90" t="s">
        <v>65</v>
      </c>
      <c r="B29" s="88">
        <v>0.003047895500725595</v>
      </c>
      <c r="C29" s="88">
        <v>-0.005084745762711895</v>
      </c>
    </row>
    <row r="30">
      <c r="A30" s="90" t="s">
        <v>66</v>
      </c>
      <c r="B30" s="88">
        <v>-0.006058857472590717</v>
      </c>
      <c r="C30" s="88">
        <v>0.035741872059546376</v>
      </c>
    </row>
    <row r="31">
      <c r="A31" s="90" t="s">
        <v>67</v>
      </c>
      <c r="B31" s="88">
        <v>0.02151488358384901</v>
      </c>
      <c r="C31" s="88">
        <v>0.04260926861410064</v>
      </c>
    </row>
    <row r="32">
      <c r="A32" s="90" t="s">
        <v>68</v>
      </c>
      <c r="B32" s="88">
        <v>-0.004401408450704136</v>
      </c>
      <c r="C32" s="88">
        <v>-0.029073073642308822</v>
      </c>
    </row>
    <row r="33">
      <c r="A33" s="90" t="s">
        <v>69</v>
      </c>
      <c r="B33" s="88">
        <v>-0.009734127560656725</v>
      </c>
      <c r="C33" s="88">
        <v>0.0014236902050115408</v>
      </c>
    </row>
    <row r="34">
      <c r="A34" s="90" t="s">
        <v>70</v>
      </c>
      <c r="B34" s="88">
        <v>-2.904865649963062E-4</v>
      </c>
      <c r="C34" s="88">
        <v>0.05902751601960032</v>
      </c>
    </row>
    <row r="35">
      <c r="A35" s="90" t="s">
        <v>71</v>
      </c>
      <c r="B35" s="88">
        <v>-0.020765182762053858</v>
      </c>
      <c r="C35" s="88">
        <v>-9.038186337275711E-4</v>
      </c>
    </row>
    <row r="36">
      <c r="A36" s="90" t="s">
        <v>72</v>
      </c>
      <c r="B36" s="88">
        <v>0.014427932477276029</v>
      </c>
      <c r="C36" s="88">
        <v>0.03314917127071837</v>
      </c>
    </row>
    <row r="37">
      <c r="A37" s="90" t="s">
        <v>73</v>
      </c>
      <c r="B37" s="88">
        <v>0.02166863207547176</v>
      </c>
      <c r="C37" s="88">
        <v>0.015247274450939985</v>
      </c>
    </row>
    <row r="38">
      <c r="A38" s="90" t="s">
        <v>74</v>
      </c>
      <c r="B38" s="88"/>
      <c r="C38" s="88">
        <v>-0.013636717836827073</v>
      </c>
    </row>
    <row r="39">
      <c r="A39" s="90" t="s">
        <v>75</v>
      </c>
      <c r="B39" s="88"/>
      <c r="C39" s="88"/>
    </row>
    <row r="40">
      <c r="A40" s="90" t="s">
        <v>76</v>
      </c>
      <c r="B40" s="88">
        <v>-0.004726439415640216</v>
      </c>
      <c r="C40" s="88"/>
    </row>
    <row r="41">
      <c r="A41" s="90" t="s">
        <v>77</v>
      </c>
      <c r="B41" s="88">
        <v>-0.01034727143869607</v>
      </c>
      <c r="C41" s="88">
        <v>-0.010821831869510579</v>
      </c>
    </row>
    <row r="42">
      <c r="A42" s="90" t="s">
        <v>78</v>
      </c>
      <c r="B42" s="88">
        <v>0.0045564573544067954</v>
      </c>
      <c r="C42" s="88">
        <v>0.016338566988124636</v>
      </c>
    </row>
    <row r="43">
      <c r="A43" s="90" t="s">
        <v>79</v>
      </c>
      <c r="B43" s="88">
        <v>-0.0031227821149751867</v>
      </c>
      <c r="C43" s="88">
        <v>-0.019995313598375364</v>
      </c>
    </row>
    <row r="44">
      <c r="A44" s="90" t="s">
        <v>80</v>
      </c>
      <c r="B44" s="88">
        <v>0.021014492753623326</v>
      </c>
      <c r="C44" s="88">
        <v>0.011774932827564255</v>
      </c>
    </row>
    <row r="45">
      <c r="A45" s="90" t="s">
        <v>81</v>
      </c>
      <c r="B45" s="88">
        <v>-0.015832263585793704</v>
      </c>
      <c r="C45" s="88">
        <v>-0.024739884393063516</v>
      </c>
    </row>
    <row r="46">
      <c r="A46" s="90" t="s">
        <v>82</v>
      </c>
      <c r="B46" s="88">
        <v>-0.0035531552018192025</v>
      </c>
      <c r="C46" s="88">
        <v>0.002782286111755239</v>
      </c>
    </row>
    <row r="47">
      <c r="A47" s="90" t="s">
        <v>83</v>
      </c>
      <c r="B47" s="88">
        <v>-0.014979700405991947</v>
      </c>
      <c r="C47" s="88">
        <v>-0.06624810565057382</v>
      </c>
    </row>
    <row r="48">
      <c r="A48" s="90" t="s">
        <v>84</v>
      </c>
      <c r="B48" s="88">
        <v>0.02203462584060678</v>
      </c>
      <c r="C48" s="88">
        <v>-0.010991363928342213</v>
      </c>
    </row>
    <row r="49">
      <c r="A49" s="90" t="s">
        <v>85</v>
      </c>
      <c r="B49" s="88">
        <v>0.021335671489112862</v>
      </c>
      <c r="C49" s="88">
        <v>-0.01483616931514542</v>
      </c>
    </row>
    <row r="50">
      <c r="A50" s="90" t="s">
        <v>86</v>
      </c>
      <c r="B50" s="88">
        <v>-0.006244554167876726</v>
      </c>
      <c r="C50" s="88">
        <v>-0.017817679558011168</v>
      </c>
    </row>
    <row r="51">
      <c r="A51" s="90" t="s">
        <v>87</v>
      </c>
      <c r="B51" s="88">
        <v>0.02485488912040479</v>
      </c>
      <c r="C51" s="88">
        <v>0.02622253720765433</v>
      </c>
    </row>
    <row r="52">
      <c r="A52" s="90" t="s">
        <v>88</v>
      </c>
      <c r="B52" s="88"/>
      <c r="C52" s="88">
        <v>-0.02109060635493265</v>
      </c>
    </row>
    <row r="53">
      <c r="A53" s="90" t="s">
        <v>89</v>
      </c>
      <c r="B53" s="88"/>
      <c r="C53" s="88"/>
    </row>
    <row r="54">
      <c r="A54" s="90" t="s">
        <v>90</v>
      </c>
      <c r="B54" s="88">
        <v>-0.031709426347650504</v>
      </c>
      <c r="C54" s="88"/>
    </row>
    <row r="55">
      <c r="A55" s="90" t="s">
        <v>91</v>
      </c>
      <c r="B55" s="88">
        <v>0.00303599826514378</v>
      </c>
      <c r="C55" s="88">
        <v>0.006369858372297976</v>
      </c>
    </row>
    <row r="56">
      <c r="A56" s="90" t="s">
        <v>92</v>
      </c>
      <c r="B56" s="88">
        <v>-0.002019910546818604</v>
      </c>
      <c r="C56" s="88">
        <v>-2.032520325203624E-4</v>
      </c>
    </row>
    <row r="57">
      <c r="A57" s="90" t="s">
        <v>93</v>
      </c>
      <c r="B57" s="88">
        <v>0.03602391629297452</v>
      </c>
      <c r="C57" s="88">
        <v>0.07049608355091386</v>
      </c>
    </row>
    <row r="58">
      <c r="A58" s="90">
        <v>56.0</v>
      </c>
      <c r="B58" s="88">
        <v>0.07885824866956948</v>
      </c>
      <c r="C58" s="88">
        <v>-0.008200258955546103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s>
  <sheetData>
    <row r="1">
      <c r="A1" s="76" t="s">
        <v>33</v>
      </c>
      <c r="B1" s="103" t="s">
        <v>34</v>
      </c>
      <c r="C1" s="104" t="s">
        <v>35</v>
      </c>
      <c r="F1" s="103" t="s">
        <v>34</v>
      </c>
      <c r="G1" s="104" t="s">
        <v>35</v>
      </c>
    </row>
    <row r="2">
      <c r="A2" s="82"/>
      <c r="B2" s="83"/>
      <c r="C2" s="83"/>
      <c r="E2" s="84" t="s">
        <v>95</v>
      </c>
      <c r="F2" s="105">
        <f t="shared" ref="F2:G2" si="1">_xlfn.STDEV.S(B:B)</f>
        <v>0.02038189986</v>
      </c>
      <c r="G2" s="105">
        <f t="shared" si="1"/>
        <v>0.02809128189</v>
      </c>
    </row>
    <row r="3">
      <c r="A3" s="87" t="s">
        <v>36</v>
      </c>
      <c r="B3" s="88">
        <v>0.006950942387381254</v>
      </c>
      <c r="C3" s="88">
        <v>0.01021935819826858</v>
      </c>
      <c r="E3" s="84" t="s">
        <v>96</v>
      </c>
      <c r="F3" s="51">
        <v>48.0</v>
      </c>
      <c r="G3" s="51">
        <v>48.0</v>
      </c>
    </row>
    <row r="4">
      <c r="A4" s="90" t="s">
        <v>37</v>
      </c>
      <c r="B4" s="88">
        <v>0.0264818880351263</v>
      </c>
      <c r="C4" s="88">
        <v>0.06259510305713079</v>
      </c>
      <c r="E4" s="84" t="s">
        <v>97</v>
      </c>
      <c r="F4" s="105">
        <f t="shared" ref="F4:G4" si="2">F3-1</f>
        <v>47</v>
      </c>
      <c r="G4" s="105">
        <f t="shared" si="2"/>
        <v>47</v>
      </c>
    </row>
    <row r="5">
      <c r="A5" s="90" t="s">
        <v>38</v>
      </c>
      <c r="B5" s="88">
        <v>0.03463940942646215</v>
      </c>
      <c r="C5" s="88">
        <v>-0.011891744122471182</v>
      </c>
      <c r="E5" s="79" t="s">
        <v>98</v>
      </c>
      <c r="F5" s="51" t="s">
        <v>99</v>
      </c>
    </row>
    <row r="6">
      <c r="A6" s="90" t="s">
        <v>39</v>
      </c>
      <c r="B6" s="88">
        <v>-9.927669834066677E-4</v>
      </c>
      <c r="C6" s="88">
        <v>0.04581516689300269</v>
      </c>
      <c r="E6" s="79" t="s">
        <v>100</v>
      </c>
      <c r="F6" s="105">
        <f>_xlfn.VAR.S(B:B)/_xlfn.VAR.S(C:C)</f>
        <v>0.5264367644</v>
      </c>
    </row>
    <row r="7">
      <c r="A7" s="90" t="s">
        <v>40</v>
      </c>
      <c r="B7" s="88">
        <v>0.02010995370370372</v>
      </c>
      <c r="C7" s="88">
        <v>-0.01631160795893971</v>
      </c>
      <c r="E7" s="79" t="s">
        <v>101</v>
      </c>
      <c r="F7" s="105">
        <f>_xlfn.F.DIST.RT(F6,F4,G4)</f>
        <v>0.9849763804</v>
      </c>
    </row>
    <row r="8">
      <c r="A8" s="90" t="s">
        <v>41</v>
      </c>
      <c r="B8" s="88">
        <v>-0.010734220695577501</v>
      </c>
      <c r="C8" s="88">
        <v>-0.010780358881624763</v>
      </c>
    </row>
    <row r="9">
      <c r="A9" s="90" t="s">
        <v>43</v>
      </c>
      <c r="B9" s="88">
        <v>-0.002711961176134703</v>
      </c>
      <c r="C9" s="88">
        <v>-0.029562634989200864</v>
      </c>
      <c r="E9" s="79"/>
      <c r="F9" s="79"/>
      <c r="G9" s="79"/>
      <c r="H9" s="79"/>
      <c r="I9" s="79"/>
      <c r="J9" s="79"/>
      <c r="K9" s="79"/>
      <c r="L9" s="79"/>
      <c r="M9" s="79"/>
      <c r="N9" s="79"/>
      <c r="O9" s="79"/>
      <c r="P9" s="79"/>
    </row>
    <row r="10">
      <c r="A10" s="90" t="s">
        <v>44</v>
      </c>
      <c r="B10" s="88">
        <v>-0.006522972206466138</v>
      </c>
      <c r="C10" s="88">
        <v>-0.0165283770328577</v>
      </c>
      <c r="E10" s="106" t="s">
        <v>102</v>
      </c>
      <c r="F10" s="79"/>
      <c r="G10" s="79"/>
      <c r="H10" s="79"/>
      <c r="I10" s="79"/>
      <c r="J10" s="79"/>
      <c r="K10" s="79"/>
      <c r="L10" s="79"/>
      <c r="M10" s="79"/>
      <c r="N10" s="79"/>
      <c r="O10" s="79"/>
      <c r="P10" s="79"/>
    </row>
    <row r="11">
      <c r="A11" s="90" t="s">
        <v>46</v>
      </c>
      <c r="B11" s="88"/>
      <c r="C11" s="88"/>
      <c r="E11" s="51" t="s">
        <v>103</v>
      </c>
    </row>
    <row r="12">
      <c r="A12" s="90" t="s">
        <v>47</v>
      </c>
      <c r="B12" s="88"/>
      <c r="C12" s="88"/>
    </row>
    <row r="13">
      <c r="A13" s="90" t="s">
        <v>49</v>
      </c>
      <c r="B13" s="88">
        <v>-0.04269384382316477</v>
      </c>
      <c r="C13" s="88">
        <v>-0.02498302783435169</v>
      </c>
    </row>
    <row r="14">
      <c r="A14" s="90" t="s">
        <v>50</v>
      </c>
      <c r="B14" s="88">
        <v>0.0023467697404748744</v>
      </c>
      <c r="C14" s="88">
        <v>0.016492995652473974</v>
      </c>
    </row>
    <row r="15">
      <c r="A15" s="90" t="s">
        <v>51</v>
      </c>
      <c r="B15" s="88">
        <v>0.025191055759977266</v>
      </c>
      <c r="C15" s="88">
        <v>0.003253946275270092</v>
      </c>
    </row>
    <row r="16">
      <c r="A16" s="90" t="s">
        <v>52</v>
      </c>
      <c r="B16" s="88">
        <v>0.008564087924636032</v>
      </c>
      <c r="C16" s="88">
        <v>0.020272656636292963</v>
      </c>
    </row>
    <row r="17">
      <c r="A17" s="90" t="s">
        <v>53</v>
      </c>
      <c r="B17" s="88">
        <v>0.0239695995323006</v>
      </c>
      <c r="C17" s="88">
        <v>-0.021428077694062297</v>
      </c>
    </row>
    <row r="18">
      <c r="A18" s="90" t="s">
        <v>54</v>
      </c>
      <c r="B18" s="88">
        <v>-0.011557353366079104</v>
      </c>
      <c r="C18" s="88">
        <v>-0.03604744136460569</v>
      </c>
    </row>
    <row r="19">
      <c r="A19" s="90" t="s">
        <v>55</v>
      </c>
      <c r="B19" s="88">
        <v>0.018540317834019993</v>
      </c>
      <c r="C19" s="88">
        <v>-0.014058599395611493</v>
      </c>
    </row>
    <row r="20">
      <c r="A20" s="90" t="s">
        <v>56</v>
      </c>
      <c r="B20" s="88">
        <v>0.02088027640078116</v>
      </c>
      <c r="C20" s="88">
        <v>0.024153939312386408</v>
      </c>
    </row>
    <row r="21">
      <c r="A21" s="90" t="s">
        <v>57</v>
      </c>
      <c r="B21" s="88">
        <v>0.005741048496751722</v>
      </c>
      <c r="C21" s="88">
        <v>0.057112375533428184</v>
      </c>
    </row>
    <row r="22">
      <c r="A22" s="90" t="s">
        <v>58</v>
      </c>
      <c r="B22" s="88">
        <v>0.015028369881920023</v>
      </c>
      <c r="C22" s="88">
        <v>0.01092896174863367</v>
      </c>
    </row>
    <row r="23">
      <c r="A23" s="90" t="s">
        <v>59</v>
      </c>
      <c r="B23" s="88"/>
      <c r="C23" s="88">
        <v>-0.009331148942232192</v>
      </c>
    </row>
    <row r="24">
      <c r="A24" s="90" t="s">
        <v>60</v>
      </c>
      <c r="B24" s="88"/>
      <c r="C24" s="88">
        <v>-0.012311805262417375</v>
      </c>
    </row>
    <row r="25">
      <c r="A25" s="90" t="s">
        <v>61</v>
      </c>
      <c r="B25" s="88">
        <v>-0.008782556026650679</v>
      </c>
      <c r="C25" s="88"/>
    </row>
    <row r="26">
      <c r="A26" s="90" t="s">
        <v>62</v>
      </c>
      <c r="B26" s="88">
        <v>-0.013886814991787233</v>
      </c>
      <c r="C26" s="88"/>
    </row>
    <row r="27">
      <c r="A27" s="90" t="s">
        <v>63</v>
      </c>
      <c r="B27" s="88">
        <v>-0.015002206206795043</v>
      </c>
      <c r="C27" s="88">
        <v>-0.015159829880642128</v>
      </c>
    </row>
    <row r="28">
      <c r="A28" s="90" t="s">
        <v>64</v>
      </c>
      <c r="B28" s="88">
        <v>-0.016206048328751277</v>
      </c>
      <c r="C28" s="88">
        <v>-0.006609880749574137</v>
      </c>
    </row>
    <row r="29">
      <c r="A29" s="90" t="s">
        <v>65</v>
      </c>
      <c r="B29" s="88">
        <v>0.003047895500725595</v>
      </c>
      <c r="C29" s="88">
        <v>-0.005084745762711895</v>
      </c>
    </row>
    <row r="30">
      <c r="A30" s="90" t="s">
        <v>66</v>
      </c>
      <c r="B30" s="88">
        <v>-0.006058857472590717</v>
      </c>
      <c r="C30" s="88">
        <v>0.035741872059546376</v>
      </c>
    </row>
    <row r="31">
      <c r="A31" s="90" t="s">
        <v>67</v>
      </c>
      <c r="B31" s="88">
        <v>0.02151488358384901</v>
      </c>
      <c r="C31" s="88">
        <v>0.04260926861410064</v>
      </c>
    </row>
    <row r="32">
      <c r="A32" s="90" t="s">
        <v>68</v>
      </c>
      <c r="B32" s="88">
        <v>-0.004401408450704136</v>
      </c>
      <c r="C32" s="88">
        <v>-0.029073073642308822</v>
      </c>
    </row>
    <row r="33">
      <c r="A33" s="90" t="s">
        <v>69</v>
      </c>
      <c r="B33" s="88">
        <v>-0.009734127560656725</v>
      </c>
      <c r="C33" s="88">
        <v>0.0014236902050115408</v>
      </c>
    </row>
    <row r="34">
      <c r="A34" s="90" t="s">
        <v>70</v>
      </c>
      <c r="B34" s="88">
        <v>-2.904865649963062E-4</v>
      </c>
      <c r="C34" s="88">
        <v>0.05902751601960032</v>
      </c>
    </row>
    <row r="35">
      <c r="A35" s="90" t="s">
        <v>71</v>
      </c>
      <c r="B35" s="88">
        <v>-0.020765182762053858</v>
      </c>
      <c r="C35" s="88">
        <v>-9.038186337275711E-4</v>
      </c>
    </row>
    <row r="36">
      <c r="A36" s="90" t="s">
        <v>72</v>
      </c>
      <c r="B36" s="88">
        <v>0.014427932477276029</v>
      </c>
      <c r="C36" s="88">
        <v>0.03314917127071837</v>
      </c>
    </row>
    <row r="37">
      <c r="A37" s="90" t="s">
        <v>73</v>
      </c>
      <c r="B37" s="88">
        <v>0.02166863207547176</v>
      </c>
      <c r="C37" s="88">
        <v>0.015247274450939985</v>
      </c>
    </row>
    <row r="38">
      <c r="A38" s="90" t="s">
        <v>74</v>
      </c>
      <c r="B38" s="88"/>
      <c r="C38" s="88">
        <v>-0.013636717836827073</v>
      </c>
    </row>
    <row r="39">
      <c r="A39" s="90" t="s">
        <v>75</v>
      </c>
      <c r="B39" s="88"/>
      <c r="C39" s="88"/>
    </row>
    <row r="40">
      <c r="A40" s="90" t="s">
        <v>76</v>
      </c>
      <c r="B40" s="88">
        <v>-0.004726439415640216</v>
      </c>
      <c r="C40" s="88"/>
    </row>
    <row r="41">
      <c r="A41" s="90" t="s">
        <v>77</v>
      </c>
      <c r="B41" s="88">
        <v>-0.01034727143869607</v>
      </c>
      <c r="C41" s="88">
        <v>-0.010821831869510579</v>
      </c>
    </row>
    <row r="42">
      <c r="A42" s="90" t="s">
        <v>78</v>
      </c>
      <c r="B42" s="88">
        <v>0.0045564573544067954</v>
      </c>
      <c r="C42" s="88">
        <v>0.016338566988124636</v>
      </c>
    </row>
    <row r="43">
      <c r="A43" s="90" t="s">
        <v>79</v>
      </c>
      <c r="B43" s="88">
        <v>-0.0031227821149751867</v>
      </c>
      <c r="C43" s="88">
        <v>-0.019995313598375364</v>
      </c>
    </row>
    <row r="44">
      <c r="A44" s="90" t="s">
        <v>80</v>
      </c>
      <c r="B44" s="88">
        <v>0.021014492753623326</v>
      </c>
      <c r="C44" s="88">
        <v>0.011774932827564255</v>
      </c>
    </row>
    <row r="45">
      <c r="A45" s="90" t="s">
        <v>81</v>
      </c>
      <c r="B45" s="88">
        <v>-0.015832263585793704</v>
      </c>
      <c r="C45" s="88">
        <v>-0.024739884393063516</v>
      </c>
    </row>
    <row r="46">
      <c r="A46" s="90" t="s">
        <v>82</v>
      </c>
      <c r="B46" s="88">
        <v>-0.0035531552018192025</v>
      </c>
      <c r="C46" s="88">
        <v>0.002782286111755239</v>
      </c>
    </row>
    <row r="47">
      <c r="A47" s="90" t="s">
        <v>83</v>
      </c>
      <c r="B47" s="88">
        <v>-0.014979700405991947</v>
      </c>
      <c r="C47" s="88">
        <v>-0.06624810565057382</v>
      </c>
    </row>
    <row r="48">
      <c r="A48" s="90" t="s">
        <v>84</v>
      </c>
      <c r="B48" s="88">
        <v>0.02203462584060678</v>
      </c>
      <c r="C48" s="88">
        <v>-0.010991363928342213</v>
      </c>
    </row>
    <row r="49">
      <c r="A49" s="90" t="s">
        <v>85</v>
      </c>
      <c r="B49" s="88">
        <v>0.021335671489112862</v>
      </c>
      <c r="C49" s="88">
        <v>-0.01483616931514542</v>
      </c>
    </row>
    <row r="50">
      <c r="A50" s="90" t="s">
        <v>86</v>
      </c>
      <c r="B50" s="88">
        <v>-0.006244554167876726</v>
      </c>
      <c r="C50" s="88">
        <v>-0.017817679558011168</v>
      </c>
    </row>
    <row r="51">
      <c r="A51" s="90" t="s">
        <v>87</v>
      </c>
      <c r="B51" s="88">
        <v>0.02485488912040479</v>
      </c>
      <c r="C51" s="88">
        <v>0.02622253720765433</v>
      </c>
    </row>
    <row r="52">
      <c r="A52" s="90" t="s">
        <v>88</v>
      </c>
      <c r="B52" s="88"/>
      <c r="C52" s="88">
        <v>-0.02109060635493265</v>
      </c>
    </row>
    <row r="53">
      <c r="A53" s="90" t="s">
        <v>89</v>
      </c>
      <c r="B53" s="88"/>
      <c r="C53" s="88"/>
    </row>
    <row r="54">
      <c r="A54" s="90" t="s">
        <v>90</v>
      </c>
      <c r="B54" s="88">
        <v>-0.031709426347650504</v>
      </c>
      <c r="C54" s="88"/>
    </row>
    <row r="55">
      <c r="A55" s="90" t="s">
        <v>91</v>
      </c>
      <c r="B55" s="88">
        <v>0.00303599826514378</v>
      </c>
      <c r="C55" s="88">
        <v>0.006369858372297976</v>
      </c>
    </row>
    <row r="56">
      <c r="A56" s="90" t="s">
        <v>92</v>
      </c>
      <c r="B56" s="88">
        <v>-0.002019910546818604</v>
      </c>
      <c r="C56" s="88">
        <v>-2.032520325203624E-4</v>
      </c>
    </row>
    <row r="57">
      <c r="A57" s="90" t="s">
        <v>93</v>
      </c>
      <c r="B57" s="88">
        <v>0.03602391629297452</v>
      </c>
      <c r="C57" s="88">
        <v>0.07049608355091386</v>
      </c>
    </row>
    <row r="58">
      <c r="A58" s="90">
        <v>56.0</v>
      </c>
      <c r="B58" s="88">
        <v>0.07885824866956948</v>
      </c>
      <c r="C58" s="88">
        <v>-0.008200258955546103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76" t="s">
        <v>33</v>
      </c>
      <c r="B1" s="103" t="s">
        <v>34</v>
      </c>
      <c r="C1" s="104" t="s">
        <v>35</v>
      </c>
      <c r="E1" s="107" t="s">
        <v>34</v>
      </c>
      <c r="F1" s="107" t="s">
        <v>35</v>
      </c>
    </row>
    <row r="2">
      <c r="A2" s="82"/>
      <c r="B2" s="83"/>
      <c r="C2" s="83"/>
      <c r="D2" s="84" t="s">
        <v>95</v>
      </c>
      <c r="E2" s="108">
        <f t="shared" ref="E2:F2" si="1">_xlfn.STDEV.S(B:B)</f>
        <v>0.02038189986</v>
      </c>
      <c r="F2" s="108">
        <f t="shared" si="1"/>
        <v>0.02809128189</v>
      </c>
    </row>
    <row r="3">
      <c r="A3" s="87" t="s">
        <v>36</v>
      </c>
      <c r="B3" s="88">
        <v>0.006950942387381254</v>
      </c>
      <c r="C3" s="88">
        <v>0.01021935819826858</v>
      </c>
      <c r="D3" s="84" t="s">
        <v>104</v>
      </c>
      <c r="E3" s="108">
        <f t="shared" ref="E3:F3" si="2">_xlfn.STDEV.P(B:B)</f>
        <v>0.02016847094</v>
      </c>
      <c r="F3" s="108">
        <f t="shared" si="2"/>
        <v>0.02779712424</v>
      </c>
    </row>
    <row r="4">
      <c r="A4" s="90" t="s">
        <v>37</v>
      </c>
      <c r="B4" s="88">
        <v>0.0264818880351263</v>
      </c>
      <c r="C4" s="88">
        <v>0.06259510305713079</v>
      </c>
      <c r="D4" s="84" t="s">
        <v>96</v>
      </c>
      <c r="E4" s="109">
        <v>48.0</v>
      </c>
      <c r="F4" s="109">
        <v>48.0</v>
      </c>
    </row>
    <row r="5">
      <c r="A5" s="90" t="s">
        <v>38</v>
      </c>
      <c r="B5" s="88">
        <v>0.03463940942646215</v>
      </c>
      <c r="C5" s="88">
        <v>-0.011891744122471182</v>
      </c>
      <c r="D5" s="84" t="s">
        <v>97</v>
      </c>
      <c r="E5" s="108">
        <f t="shared" ref="E5:F5" si="3">E4-1</f>
        <v>47</v>
      </c>
      <c r="F5" s="108">
        <f t="shared" si="3"/>
        <v>47</v>
      </c>
    </row>
    <row r="6">
      <c r="A6" s="90" t="s">
        <v>39</v>
      </c>
      <c r="B6" s="88">
        <v>-9.927669834066677E-4</v>
      </c>
      <c r="C6" s="88">
        <v>0.04581516689300269</v>
      </c>
      <c r="D6" s="79" t="s">
        <v>105</v>
      </c>
      <c r="E6" s="108">
        <f t="shared" ref="E6:F6" si="4">E3^2</f>
        <v>0.0004067672201</v>
      </c>
      <c r="F6" s="108">
        <f t="shared" si="4"/>
        <v>0.0007726801159</v>
      </c>
    </row>
    <row r="7">
      <c r="A7" s="90" t="s">
        <v>40</v>
      </c>
      <c r="B7" s="88">
        <v>0.02010995370370372</v>
      </c>
      <c r="C7" s="88">
        <v>-0.01631160795893971</v>
      </c>
      <c r="D7" s="79" t="s">
        <v>106</v>
      </c>
      <c r="E7" s="108">
        <f t="shared" ref="E7:F7" si="5">E5*E8/E6</f>
        <v>48</v>
      </c>
      <c r="F7" s="108">
        <f t="shared" si="5"/>
        <v>48</v>
      </c>
    </row>
    <row r="8">
      <c r="A8" s="90" t="s">
        <v>41</v>
      </c>
      <c r="B8" s="88">
        <v>-0.010734220695577501</v>
      </c>
      <c r="C8" s="88">
        <v>-0.010780358881624763</v>
      </c>
      <c r="D8" s="79" t="s">
        <v>107</v>
      </c>
      <c r="E8" s="108">
        <f t="shared" ref="E8:F8" si="6">E2^2</f>
        <v>0.0004154218419</v>
      </c>
      <c r="F8" s="108">
        <f t="shared" si="6"/>
        <v>0.0007891201184</v>
      </c>
    </row>
    <row r="9">
      <c r="A9" s="90" t="s">
        <v>43</v>
      </c>
      <c r="B9" s="88">
        <v>-0.002711961176134703</v>
      </c>
      <c r="C9" s="88">
        <v>-0.029562634989200864</v>
      </c>
      <c r="D9" s="79" t="s">
        <v>98</v>
      </c>
      <c r="E9" s="110">
        <v>0.05</v>
      </c>
      <c r="F9" s="110">
        <v>0.05</v>
      </c>
    </row>
    <row r="10">
      <c r="A10" s="90" t="s">
        <v>44</v>
      </c>
      <c r="B10" s="88">
        <v>-0.006522972206466138</v>
      </c>
      <c r="C10" s="88">
        <v>-0.0165283770328577</v>
      </c>
      <c r="D10" s="79" t="s">
        <v>108</v>
      </c>
      <c r="E10" s="108">
        <f t="shared" ref="E10:F10" si="7">2*_xlfn.CHISQ.DIST.RT(E7,E5)</f>
        <v>0.8641219791</v>
      </c>
      <c r="F10" s="108">
        <f t="shared" si="7"/>
        <v>0.8641219791</v>
      </c>
    </row>
    <row r="11">
      <c r="A11" s="90" t="s">
        <v>46</v>
      </c>
      <c r="B11" s="88"/>
      <c r="C11" s="88"/>
      <c r="E11" s="108"/>
      <c r="F11" s="108"/>
    </row>
    <row r="12">
      <c r="A12" s="90" t="s">
        <v>47</v>
      </c>
      <c r="B12" s="88"/>
      <c r="C12" s="88"/>
      <c r="D12" s="106" t="s">
        <v>109</v>
      </c>
      <c r="E12" s="108"/>
      <c r="F12" s="108"/>
    </row>
    <row r="13">
      <c r="A13" s="90" t="s">
        <v>49</v>
      </c>
      <c r="B13" s="88">
        <v>-0.04269384382316477</v>
      </c>
      <c r="C13" s="88">
        <v>-0.02498302783435169</v>
      </c>
      <c r="D13" s="51" t="s">
        <v>110</v>
      </c>
      <c r="E13" s="108"/>
      <c r="F13" s="108"/>
    </row>
    <row r="14">
      <c r="A14" s="90" t="s">
        <v>50</v>
      </c>
      <c r="B14" s="88">
        <v>0.0023467697404748744</v>
      </c>
      <c r="C14" s="88">
        <v>0.016492995652473974</v>
      </c>
      <c r="E14" s="108"/>
      <c r="F14" s="108"/>
    </row>
    <row r="15">
      <c r="A15" s="90" t="s">
        <v>51</v>
      </c>
      <c r="B15" s="88">
        <v>0.025191055759977266</v>
      </c>
      <c r="C15" s="88">
        <v>0.003253946275270092</v>
      </c>
      <c r="E15" s="108"/>
      <c r="F15" s="108"/>
    </row>
    <row r="16">
      <c r="A16" s="90" t="s">
        <v>52</v>
      </c>
      <c r="B16" s="88">
        <v>0.008564087924636032</v>
      </c>
      <c r="C16" s="88">
        <v>0.020272656636292963</v>
      </c>
      <c r="E16" s="108"/>
      <c r="F16" s="108"/>
    </row>
    <row r="17">
      <c r="A17" s="90" t="s">
        <v>53</v>
      </c>
      <c r="B17" s="88">
        <v>0.0239695995323006</v>
      </c>
      <c r="C17" s="88">
        <v>-0.021428077694062297</v>
      </c>
      <c r="E17" s="108"/>
      <c r="F17" s="108"/>
    </row>
    <row r="18">
      <c r="A18" s="90" t="s">
        <v>54</v>
      </c>
      <c r="B18" s="88">
        <v>-0.011557353366079104</v>
      </c>
      <c r="C18" s="88">
        <v>-0.03604744136460569</v>
      </c>
      <c r="E18" s="108"/>
      <c r="F18" s="108"/>
    </row>
    <row r="19">
      <c r="A19" s="90" t="s">
        <v>55</v>
      </c>
      <c r="B19" s="88">
        <v>0.018540317834019993</v>
      </c>
      <c r="C19" s="88">
        <v>-0.014058599395611493</v>
      </c>
      <c r="E19" s="108"/>
      <c r="F19" s="108"/>
    </row>
    <row r="20">
      <c r="A20" s="90" t="s">
        <v>56</v>
      </c>
      <c r="B20" s="88">
        <v>0.02088027640078116</v>
      </c>
      <c r="C20" s="88">
        <v>0.024153939312386408</v>
      </c>
      <c r="E20" s="108"/>
      <c r="F20" s="108"/>
    </row>
    <row r="21">
      <c r="A21" s="90" t="s">
        <v>57</v>
      </c>
      <c r="B21" s="88">
        <v>0.005741048496751722</v>
      </c>
      <c r="C21" s="88">
        <v>0.057112375533428184</v>
      </c>
      <c r="E21" s="108"/>
      <c r="F21" s="108"/>
    </row>
    <row r="22">
      <c r="A22" s="90" t="s">
        <v>58</v>
      </c>
      <c r="B22" s="88">
        <v>0.015028369881920023</v>
      </c>
      <c r="C22" s="88">
        <v>0.01092896174863367</v>
      </c>
      <c r="E22" s="108"/>
      <c r="F22" s="108"/>
    </row>
    <row r="23">
      <c r="A23" s="90" t="s">
        <v>59</v>
      </c>
      <c r="B23" s="88"/>
      <c r="C23" s="88">
        <v>-0.009331148942232192</v>
      </c>
      <c r="E23" s="108"/>
      <c r="F23" s="108"/>
    </row>
    <row r="24">
      <c r="A24" s="90" t="s">
        <v>60</v>
      </c>
      <c r="B24" s="88"/>
      <c r="C24" s="88">
        <v>-0.012311805262417375</v>
      </c>
      <c r="E24" s="108"/>
      <c r="F24" s="108"/>
    </row>
    <row r="25">
      <c r="A25" s="90" t="s">
        <v>61</v>
      </c>
      <c r="B25" s="88">
        <v>-0.008782556026650679</v>
      </c>
      <c r="C25" s="88"/>
      <c r="E25" s="108"/>
      <c r="F25" s="108"/>
    </row>
    <row r="26">
      <c r="A26" s="90" t="s">
        <v>62</v>
      </c>
      <c r="B26" s="88">
        <v>-0.013886814991787233</v>
      </c>
      <c r="C26" s="88"/>
      <c r="E26" s="108"/>
      <c r="F26" s="108"/>
    </row>
    <row r="27">
      <c r="A27" s="90" t="s">
        <v>63</v>
      </c>
      <c r="B27" s="88">
        <v>-0.015002206206795043</v>
      </c>
      <c r="C27" s="88">
        <v>-0.015159829880642128</v>
      </c>
      <c r="E27" s="108"/>
      <c r="F27" s="108"/>
    </row>
    <row r="28">
      <c r="A28" s="90" t="s">
        <v>64</v>
      </c>
      <c r="B28" s="88">
        <v>-0.016206048328751277</v>
      </c>
      <c r="C28" s="88">
        <v>-0.006609880749574137</v>
      </c>
      <c r="E28" s="108"/>
      <c r="F28" s="108"/>
    </row>
    <row r="29">
      <c r="A29" s="90" t="s">
        <v>65</v>
      </c>
      <c r="B29" s="88">
        <v>0.003047895500725595</v>
      </c>
      <c r="C29" s="88">
        <v>-0.005084745762711895</v>
      </c>
      <c r="E29" s="108"/>
      <c r="F29" s="108"/>
    </row>
    <row r="30">
      <c r="A30" s="90" t="s">
        <v>66</v>
      </c>
      <c r="B30" s="88">
        <v>-0.006058857472590717</v>
      </c>
      <c r="C30" s="88">
        <v>0.035741872059546376</v>
      </c>
      <c r="E30" s="108"/>
      <c r="F30" s="108"/>
    </row>
    <row r="31">
      <c r="A31" s="90" t="s">
        <v>67</v>
      </c>
      <c r="B31" s="88">
        <v>0.02151488358384901</v>
      </c>
      <c r="C31" s="88">
        <v>0.04260926861410064</v>
      </c>
      <c r="E31" s="108"/>
      <c r="F31" s="108"/>
    </row>
    <row r="32">
      <c r="A32" s="90" t="s">
        <v>68</v>
      </c>
      <c r="B32" s="88">
        <v>-0.004401408450704136</v>
      </c>
      <c r="C32" s="88">
        <v>-0.029073073642308822</v>
      </c>
      <c r="E32" s="108"/>
      <c r="F32" s="108"/>
    </row>
    <row r="33">
      <c r="A33" s="90" t="s">
        <v>69</v>
      </c>
      <c r="B33" s="88">
        <v>-0.009734127560656725</v>
      </c>
      <c r="C33" s="88">
        <v>0.0014236902050115408</v>
      </c>
      <c r="E33" s="108"/>
      <c r="F33" s="108"/>
    </row>
    <row r="34">
      <c r="A34" s="90" t="s">
        <v>70</v>
      </c>
      <c r="B34" s="88">
        <v>-2.904865649963062E-4</v>
      </c>
      <c r="C34" s="88">
        <v>0.05902751601960032</v>
      </c>
      <c r="E34" s="108"/>
      <c r="F34" s="108"/>
    </row>
    <row r="35">
      <c r="A35" s="90" t="s">
        <v>71</v>
      </c>
      <c r="B35" s="88">
        <v>-0.020765182762053858</v>
      </c>
      <c r="C35" s="88">
        <v>-9.038186337275711E-4</v>
      </c>
      <c r="E35" s="108"/>
      <c r="F35" s="108"/>
    </row>
    <row r="36">
      <c r="A36" s="90" t="s">
        <v>72</v>
      </c>
      <c r="B36" s="88">
        <v>0.014427932477276029</v>
      </c>
      <c r="C36" s="88">
        <v>0.03314917127071837</v>
      </c>
      <c r="E36" s="108"/>
      <c r="F36" s="108"/>
    </row>
    <row r="37">
      <c r="A37" s="90" t="s">
        <v>73</v>
      </c>
      <c r="B37" s="88">
        <v>0.02166863207547176</v>
      </c>
      <c r="C37" s="88">
        <v>0.015247274450939985</v>
      </c>
      <c r="E37" s="108"/>
      <c r="F37" s="108"/>
    </row>
    <row r="38">
      <c r="A38" s="90" t="s">
        <v>74</v>
      </c>
      <c r="B38" s="88"/>
      <c r="C38" s="88">
        <v>-0.013636717836827073</v>
      </c>
      <c r="E38" s="108"/>
      <c r="F38" s="108"/>
    </row>
    <row r="39">
      <c r="A39" s="90" t="s">
        <v>75</v>
      </c>
      <c r="B39" s="88"/>
      <c r="C39" s="88"/>
      <c r="E39" s="108"/>
      <c r="F39" s="108"/>
    </row>
    <row r="40">
      <c r="A40" s="90" t="s">
        <v>76</v>
      </c>
      <c r="B40" s="88">
        <v>-0.004726439415640216</v>
      </c>
      <c r="C40" s="88"/>
      <c r="E40" s="108"/>
      <c r="F40" s="108"/>
    </row>
    <row r="41">
      <c r="A41" s="90" t="s">
        <v>77</v>
      </c>
      <c r="B41" s="88">
        <v>-0.01034727143869607</v>
      </c>
      <c r="C41" s="88">
        <v>-0.010821831869510579</v>
      </c>
      <c r="E41" s="108"/>
      <c r="F41" s="108"/>
    </row>
    <row r="42">
      <c r="A42" s="90" t="s">
        <v>78</v>
      </c>
      <c r="B42" s="88">
        <v>0.0045564573544067954</v>
      </c>
      <c r="C42" s="88">
        <v>0.016338566988124636</v>
      </c>
      <c r="E42" s="108"/>
      <c r="F42" s="108"/>
    </row>
    <row r="43">
      <c r="A43" s="90" t="s">
        <v>79</v>
      </c>
      <c r="B43" s="88">
        <v>-0.0031227821149751867</v>
      </c>
      <c r="C43" s="88">
        <v>-0.019995313598375364</v>
      </c>
      <c r="E43" s="108"/>
      <c r="F43" s="108"/>
    </row>
    <row r="44">
      <c r="A44" s="90" t="s">
        <v>80</v>
      </c>
      <c r="B44" s="88">
        <v>0.021014492753623326</v>
      </c>
      <c r="C44" s="88">
        <v>0.011774932827564255</v>
      </c>
      <c r="E44" s="108"/>
      <c r="F44" s="108"/>
    </row>
    <row r="45">
      <c r="A45" s="90" t="s">
        <v>81</v>
      </c>
      <c r="B45" s="88">
        <v>-0.015832263585793704</v>
      </c>
      <c r="C45" s="88">
        <v>-0.024739884393063516</v>
      </c>
      <c r="E45" s="108"/>
      <c r="F45" s="108"/>
    </row>
    <row r="46">
      <c r="A46" s="90" t="s">
        <v>82</v>
      </c>
      <c r="B46" s="88">
        <v>-0.0035531552018192025</v>
      </c>
      <c r="C46" s="88">
        <v>0.002782286111755239</v>
      </c>
      <c r="E46" s="108"/>
      <c r="F46" s="108"/>
    </row>
    <row r="47">
      <c r="A47" s="90" t="s">
        <v>83</v>
      </c>
      <c r="B47" s="88">
        <v>-0.014979700405991947</v>
      </c>
      <c r="C47" s="88">
        <v>-0.06624810565057382</v>
      </c>
      <c r="E47" s="108"/>
      <c r="F47" s="108"/>
    </row>
    <row r="48">
      <c r="A48" s="90" t="s">
        <v>84</v>
      </c>
      <c r="B48" s="88">
        <v>0.02203462584060678</v>
      </c>
      <c r="C48" s="88">
        <v>-0.010991363928342213</v>
      </c>
      <c r="E48" s="108"/>
      <c r="F48" s="108"/>
    </row>
    <row r="49">
      <c r="A49" s="90" t="s">
        <v>85</v>
      </c>
      <c r="B49" s="88">
        <v>0.021335671489112862</v>
      </c>
      <c r="C49" s="88">
        <v>-0.01483616931514542</v>
      </c>
      <c r="E49" s="108"/>
      <c r="F49" s="108"/>
    </row>
    <row r="50">
      <c r="A50" s="90" t="s">
        <v>86</v>
      </c>
      <c r="B50" s="88">
        <v>-0.006244554167876726</v>
      </c>
      <c r="C50" s="88">
        <v>-0.017817679558011168</v>
      </c>
      <c r="E50" s="108"/>
      <c r="F50" s="108"/>
    </row>
    <row r="51">
      <c r="A51" s="90" t="s">
        <v>87</v>
      </c>
      <c r="B51" s="88">
        <v>0.02485488912040479</v>
      </c>
      <c r="C51" s="88">
        <v>0.02622253720765433</v>
      </c>
      <c r="E51" s="108"/>
      <c r="F51" s="108"/>
    </row>
    <row r="52">
      <c r="A52" s="90" t="s">
        <v>88</v>
      </c>
      <c r="B52" s="88"/>
      <c r="C52" s="88">
        <v>-0.02109060635493265</v>
      </c>
      <c r="E52" s="108"/>
      <c r="F52" s="108"/>
    </row>
    <row r="53">
      <c r="A53" s="90" t="s">
        <v>89</v>
      </c>
      <c r="B53" s="88"/>
      <c r="C53" s="88"/>
      <c r="E53" s="108"/>
      <c r="F53" s="108"/>
    </row>
    <row r="54">
      <c r="A54" s="90" t="s">
        <v>90</v>
      </c>
      <c r="B54" s="88">
        <v>-0.031709426347650504</v>
      </c>
      <c r="C54" s="88"/>
      <c r="E54" s="108"/>
      <c r="F54" s="108"/>
    </row>
    <row r="55">
      <c r="A55" s="90" t="s">
        <v>91</v>
      </c>
      <c r="B55" s="88">
        <v>0.00303599826514378</v>
      </c>
      <c r="C55" s="88">
        <v>0.006369858372297976</v>
      </c>
      <c r="E55" s="108"/>
      <c r="F55" s="108"/>
    </row>
    <row r="56">
      <c r="A56" s="90" t="s">
        <v>92</v>
      </c>
      <c r="B56" s="88">
        <v>-0.002019910546818604</v>
      </c>
      <c r="C56" s="88">
        <v>-2.032520325203624E-4</v>
      </c>
      <c r="E56" s="108"/>
      <c r="F56" s="108"/>
    </row>
    <row r="57">
      <c r="A57" s="90" t="s">
        <v>93</v>
      </c>
      <c r="B57" s="88">
        <v>0.03602391629297452</v>
      </c>
      <c r="C57" s="88">
        <v>0.07049608355091386</v>
      </c>
      <c r="E57" s="108"/>
      <c r="F57" s="108"/>
    </row>
    <row r="58">
      <c r="A58" s="90">
        <v>56.0</v>
      </c>
      <c r="B58" s="88">
        <v>0.07885824866956948</v>
      </c>
      <c r="C58" s="88">
        <v>-0.008200258955546103</v>
      </c>
      <c r="E58" s="108"/>
      <c r="F58" s="108"/>
    </row>
    <row r="59">
      <c r="E59" s="108"/>
      <c r="F59" s="108"/>
    </row>
    <row r="60">
      <c r="E60" s="108"/>
      <c r="F60" s="108"/>
    </row>
    <row r="61">
      <c r="E61" s="108"/>
      <c r="F61" s="108"/>
    </row>
    <row r="62">
      <c r="E62" s="108"/>
      <c r="F62" s="108"/>
    </row>
    <row r="63">
      <c r="E63" s="108"/>
      <c r="F63" s="108"/>
    </row>
    <row r="64">
      <c r="E64" s="108"/>
      <c r="F64" s="108"/>
    </row>
    <row r="65">
      <c r="E65" s="108"/>
      <c r="F65" s="108"/>
    </row>
    <row r="66">
      <c r="E66" s="108"/>
      <c r="F66" s="108"/>
    </row>
    <row r="67">
      <c r="E67" s="108"/>
      <c r="F67" s="108"/>
    </row>
    <row r="68">
      <c r="E68" s="108"/>
      <c r="F68" s="108"/>
    </row>
    <row r="69">
      <c r="E69" s="108"/>
      <c r="F69" s="108"/>
    </row>
    <row r="70">
      <c r="E70" s="108"/>
      <c r="F70" s="108"/>
    </row>
    <row r="71">
      <c r="E71" s="108"/>
      <c r="F71" s="108"/>
    </row>
    <row r="72">
      <c r="E72" s="108"/>
      <c r="F72" s="108"/>
    </row>
    <row r="73">
      <c r="E73" s="108"/>
      <c r="F73" s="108"/>
    </row>
    <row r="74">
      <c r="E74" s="108"/>
      <c r="F74" s="108"/>
    </row>
    <row r="75">
      <c r="E75" s="108"/>
      <c r="F75" s="108"/>
    </row>
    <row r="76">
      <c r="E76" s="108"/>
      <c r="F76" s="108"/>
    </row>
    <row r="77">
      <c r="E77" s="108"/>
      <c r="F77" s="108"/>
    </row>
    <row r="78">
      <c r="E78" s="108"/>
      <c r="F78" s="108"/>
    </row>
    <row r="79">
      <c r="E79" s="108"/>
      <c r="F79" s="108"/>
    </row>
    <row r="80">
      <c r="E80" s="108"/>
      <c r="F80" s="108"/>
    </row>
    <row r="81">
      <c r="E81" s="108"/>
      <c r="F81" s="108"/>
    </row>
    <row r="82">
      <c r="E82" s="108"/>
      <c r="F82" s="108"/>
    </row>
    <row r="83">
      <c r="E83" s="108"/>
      <c r="F83" s="108"/>
    </row>
    <row r="84">
      <c r="E84" s="108"/>
      <c r="F84" s="108"/>
    </row>
    <row r="85">
      <c r="E85" s="108"/>
      <c r="F85" s="108"/>
    </row>
    <row r="86">
      <c r="E86" s="108"/>
      <c r="F86" s="108"/>
    </row>
    <row r="87">
      <c r="E87" s="108"/>
      <c r="F87" s="108"/>
    </row>
    <row r="88">
      <c r="E88" s="108"/>
      <c r="F88" s="108"/>
    </row>
    <row r="89">
      <c r="E89" s="108"/>
      <c r="F89" s="108"/>
    </row>
    <row r="90">
      <c r="E90" s="108"/>
      <c r="F90" s="108"/>
    </row>
    <row r="91">
      <c r="E91" s="108"/>
      <c r="F91" s="108"/>
    </row>
    <row r="92">
      <c r="E92" s="108"/>
      <c r="F92" s="108"/>
    </row>
    <row r="93">
      <c r="E93" s="108"/>
      <c r="F93" s="108"/>
    </row>
    <row r="94">
      <c r="E94" s="108"/>
      <c r="F94" s="108"/>
    </row>
    <row r="95">
      <c r="E95" s="108"/>
      <c r="F95" s="108"/>
    </row>
    <row r="96">
      <c r="E96" s="108"/>
      <c r="F96" s="108"/>
    </row>
    <row r="97">
      <c r="E97" s="108"/>
      <c r="F97" s="108"/>
    </row>
    <row r="98">
      <c r="E98" s="108"/>
      <c r="F98" s="108"/>
    </row>
    <row r="99">
      <c r="E99" s="108"/>
      <c r="F99" s="108"/>
    </row>
    <row r="100">
      <c r="E100" s="108"/>
      <c r="F100" s="108"/>
    </row>
    <row r="101">
      <c r="E101" s="108"/>
      <c r="F101" s="108"/>
    </row>
    <row r="102">
      <c r="E102" s="108"/>
      <c r="F102" s="108"/>
    </row>
    <row r="103">
      <c r="E103" s="108"/>
      <c r="F103" s="108"/>
    </row>
    <row r="104">
      <c r="E104" s="108"/>
      <c r="F104" s="108"/>
    </row>
    <row r="105">
      <c r="E105" s="108"/>
      <c r="F105" s="108"/>
    </row>
    <row r="106">
      <c r="E106" s="108"/>
      <c r="F106" s="108"/>
    </row>
    <row r="107">
      <c r="E107" s="108"/>
      <c r="F107" s="108"/>
    </row>
    <row r="108">
      <c r="E108" s="108"/>
      <c r="F108" s="108"/>
    </row>
    <row r="109">
      <c r="E109" s="108"/>
      <c r="F109" s="108"/>
    </row>
    <row r="110">
      <c r="E110" s="108"/>
      <c r="F110" s="108"/>
    </row>
    <row r="111">
      <c r="E111" s="108"/>
      <c r="F111" s="108"/>
    </row>
    <row r="112">
      <c r="E112" s="108"/>
      <c r="F112" s="108"/>
    </row>
    <row r="113">
      <c r="E113" s="108"/>
      <c r="F113" s="108"/>
    </row>
    <row r="114">
      <c r="E114" s="108"/>
      <c r="F114" s="108"/>
    </row>
    <row r="115">
      <c r="E115" s="108"/>
      <c r="F115" s="108"/>
    </row>
    <row r="116">
      <c r="E116" s="108"/>
      <c r="F116" s="108"/>
    </row>
    <row r="117">
      <c r="E117" s="108"/>
      <c r="F117" s="108"/>
    </row>
    <row r="118">
      <c r="E118" s="108"/>
      <c r="F118" s="108"/>
    </row>
    <row r="119">
      <c r="E119" s="108"/>
      <c r="F119" s="108"/>
    </row>
    <row r="120">
      <c r="E120" s="108"/>
      <c r="F120" s="108"/>
    </row>
    <row r="121">
      <c r="E121" s="108"/>
      <c r="F121" s="108"/>
    </row>
    <row r="122">
      <c r="E122" s="108"/>
      <c r="F122" s="108"/>
    </row>
    <row r="123">
      <c r="E123" s="108"/>
      <c r="F123" s="108"/>
    </row>
    <row r="124">
      <c r="E124" s="108"/>
      <c r="F124" s="108"/>
    </row>
    <row r="125">
      <c r="E125" s="108"/>
      <c r="F125" s="108"/>
    </row>
    <row r="126">
      <c r="E126" s="108"/>
      <c r="F126" s="108"/>
    </row>
    <row r="127">
      <c r="E127" s="108"/>
      <c r="F127" s="108"/>
    </row>
    <row r="128">
      <c r="E128" s="108"/>
      <c r="F128" s="108"/>
    </row>
    <row r="129">
      <c r="E129" s="108"/>
      <c r="F129" s="108"/>
    </row>
    <row r="130">
      <c r="E130" s="108"/>
      <c r="F130" s="108"/>
    </row>
    <row r="131">
      <c r="E131" s="108"/>
      <c r="F131" s="108"/>
    </row>
    <row r="132">
      <c r="E132" s="108"/>
      <c r="F132" s="108"/>
    </row>
    <row r="133">
      <c r="E133" s="108"/>
      <c r="F133" s="108"/>
    </row>
    <row r="134">
      <c r="E134" s="108"/>
      <c r="F134" s="108"/>
    </row>
    <row r="135">
      <c r="E135" s="108"/>
      <c r="F135" s="108"/>
    </row>
    <row r="136">
      <c r="E136" s="108"/>
      <c r="F136" s="108"/>
    </row>
    <row r="137">
      <c r="E137" s="108"/>
      <c r="F137" s="108"/>
    </row>
    <row r="138">
      <c r="E138" s="108"/>
      <c r="F138" s="108"/>
    </row>
    <row r="139">
      <c r="E139" s="108"/>
      <c r="F139" s="108"/>
    </row>
    <row r="140">
      <c r="E140" s="108"/>
      <c r="F140" s="108"/>
    </row>
    <row r="141">
      <c r="E141" s="108"/>
      <c r="F141" s="108"/>
    </row>
    <row r="142">
      <c r="E142" s="108"/>
      <c r="F142" s="108"/>
    </row>
    <row r="143">
      <c r="E143" s="108"/>
      <c r="F143" s="108"/>
    </row>
    <row r="144">
      <c r="E144" s="108"/>
      <c r="F144" s="108"/>
    </row>
    <row r="145">
      <c r="E145" s="108"/>
      <c r="F145" s="108"/>
    </row>
    <row r="146">
      <c r="E146" s="108"/>
      <c r="F146" s="108"/>
    </row>
    <row r="147">
      <c r="E147" s="108"/>
      <c r="F147" s="108"/>
    </row>
    <row r="148">
      <c r="E148" s="108"/>
      <c r="F148" s="108"/>
    </row>
    <row r="149">
      <c r="E149" s="108"/>
      <c r="F149" s="108"/>
    </row>
    <row r="150">
      <c r="E150" s="108"/>
      <c r="F150" s="108"/>
    </row>
    <row r="151">
      <c r="E151" s="108"/>
      <c r="F151" s="108"/>
    </row>
    <row r="152">
      <c r="E152" s="108"/>
      <c r="F152" s="108"/>
    </row>
    <row r="153">
      <c r="E153" s="108"/>
      <c r="F153" s="108"/>
    </row>
    <row r="154">
      <c r="E154" s="108"/>
      <c r="F154" s="108"/>
    </row>
    <row r="155">
      <c r="E155" s="108"/>
      <c r="F155" s="108"/>
    </row>
    <row r="156">
      <c r="E156" s="108"/>
      <c r="F156" s="108"/>
    </row>
    <row r="157">
      <c r="E157" s="108"/>
      <c r="F157" s="108"/>
    </row>
    <row r="158">
      <c r="E158" s="108"/>
      <c r="F158" s="108"/>
    </row>
    <row r="159">
      <c r="E159" s="108"/>
      <c r="F159" s="108"/>
    </row>
    <row r="160">
      <c r="E160" s="108"/>
      <c r="F160" s="108"/>
    </row>
    <row r="161">
      <c r="E161" s="108"/>
      <c r="F161" s="108"/>
    </row>
    <row r="162">
      <c r="E162" s="108"/>
      <c r="F162" s="108"/>
    </row>
    <row r="163">
      <c r="E163" s="108"/>
      <c r="F163" s="108"/>
    </row>
    <row r="164">
      <c r="E164" s="108"/>
      <c r="F164" s="108"/>
    </row>
    <row r="165">
      <c r="E165" s="108"/>
      <c r="F165" s="108"/>
    </row>
    <row r="166">
      <c r="E166" s="108"/>
      <c r="F166" s="108"/>
    </row>
    <row r="167">
      <c r="E167" s="108"/>
      <c r="F167" s="108"/>
    </row>
    <row r="168">
      <c r="E168" s="108"/>
      <c r="F168" s="108"/>
    </row>
    <row r="169">
      <c r="E169" s="108"/>
      <c r="F169" s="108"/>
    </row>
    <row r="170">
      <c r="E170" s="108"/>
      <c r="F170" s="108"/>
    </row>
    <row r="171">
      <c r="E171" s="108"/>
      <c r="F171" s="108"/>
    </row>
    <row r="172">
      <c r="E172" s="108"/>
      <c r="F172" s="108"/>
    </row>
    <row r="173">
      <c r="E173" s="108"/>
      <c r="F173" s="108"/>
    </row>
    <row r="174">
      <c r="E174" s="108"/>
      <c r="F174" s="108"/>
    </row>
    <row r="175">
      <c r="E175" s="108"/>
      <c r="F175" s="108"/>
    </row>
    <row r="176">
      <c r="E176" s="108"/>
      <c r="F176" s="108"/>
    </row>
    <row r="177">
      <c r="E177" s="108"/>
      <c r="F177" s="108"/>
    </row>
    <row r="178">
      <c r="E178" s="108"/>
      <c r="F178" s="108"/>
    </row>
    <row r="179">
      <c r="E179" s="108"/>
      <c r="F179" s="108"/>
    </row>
    <row r="180">
      <c r="E180" s="108"/>
      <c r="F180" s="108"/>
    </row>
    <row r="181">
      <c r="E181" s="108"/>
      <c r="F181" s="108"/>
    </row>
    <row r="182">
      <c r="E182" s="108"/>
      <c r="F182" s="108"/>
    </row>
    <row r="183">
      <c r="E183" s="108"/>
      <c r="F183" s="108"/>
    </row>
    <row r="184">
      <c r="E184" s="108"/>
      <c r="F184" s="108"/>
    </row>
    <row r="185">
      <c r="E185" s="108"/>
      <c r="F185" s="108"/>
    </row>
    <row r="186">
      <c r="E186" s="108"/>
      <c r="F186" s="108"/>
    </row>
    <row r="187">
      <c r="E187" s="108"/>
      <c r="F187" s="108"/>
    </row>
    <row r="188">
      <c r="E188" s="108"/>
      <c r="F188" s="108"/>
    </row>
    <row r="189">
      <c r="E189" s="108"/>
      <c r="F189" s="108"/>
    </row>
    <row r="190">
      <c r="E190" s="108"/>
      <c r="F190" s="108"/>
    </row>
    <row r="191">
      <c r="E191" s="108"/>
      <c r="F191" s="108"/>
    </row>
    <row r="192">
      <c r="E192" s="108"/>
      <c r="F192" s="108"/>
    </row>
    <row r="193">
      <c r="E193" s="108"/>
      <c r="F193" s="108"/>
    </row>
    <row r="194">
      <c r="E194" s="108"/>
      <c r="F194" s="108"/>
    </row>
    <row r="195">
      <c r="E195" s="108"/>
      <c r="F195" s="108"/>
    </row>
    <row r="196">
      <c r="E196" s="108"/>
      <c r="F196" s="108"/>
    </row>
    <row r="197">
      <c r="E197" s="108"/>
      <c r="F197" s="108"/>
    </row>
    <row r="198">
      <c r="E198" s="108"/>
      <c r="F198" s="108"/>
    </row>
    <row r="199">
      <c r="E199" s="108"/>
      <c r="F199" s="108"/>
    </row>
    <row r="200">
      <c r="E200" s="108"/>
      <c r="F200" s="108"/>
    </row>
    <row r="201">
      <c r="E201" s="108"/>
      <c r="F201" s="108"/>
    </row>
    <row r="202">
      <c r="E202" s="108"/>
      <c r="F202" s="108"/>
    </row>
    <row r="203">
      <c r="E203" s="108"/>
      <c r="F203" s="108"/>
    </row>
    <row r="204">
      <c r="E204" s="108"/>
      <c r="F204" s="108"/>
    </row>
    <row r="205">
      <c r="E205" s="108"/>
      <c r="F205" s="108"/>
    </row>
    <row r="206">
      <c r="E206" s="108"/>
      <c r="F206" s="108"/>
    </row>
    <row r="207">
      <c r="E207" s="108"/>
      <c r="F207" s="108"/>
    </row>
    <row r="208">
      <c r="E208" s="108"/>
      <c r="F208" s="108"/>
    </row>
    <row r="209">
      <c r="E209" s="108"/>
      <c r="F209" s="108"/>
    </row>
    <row r="210">
      <c r="E210" s="108"/>
      <c r="F210" s="108"/>
    </row>
    <row r="211">
      <c r="E211" s="108"/>
      <c r="F211" s="108"/>
    </row>
    <row r="212">
      <c r="E212" s="108"/>
      <c r="F212" s="108"/>
    </row>
    <row r="213">
      <c r="E213" s="108"/>
      <c r="F213" s="108"/>
    </row>
    <row r="214">
      <c r="E214" s="108"/>
      <c r="F214" s="108"/>
    </row>
    <row r="215">
      <c r="E215" s="108"/>
      <c r="F215" s="108"/>
    </row>
    <row r="216">
      <c r="E216" s="108"/>
      <c r="F216" s="108"/>
    </row>
    <row r="217">
      <c r="E217" s="108"/>
      <c r="F217" s="108"/>
    </row>
    <row r="218">
      <c r="E218" s="108"/>
      <c r="F218" s="108"/>
    </row>
    <row r="219">
      <c r="E219" s="108"/>
      <c r="F219" s="108"/>
    </row>
    <row r="220">
      <c r="E220" s="108"/>
      <c r="F220" s="108"/>
    </row>
    <row r="221">
      <c r="E221" s="108"/>
      <c r="F221" s="108"/>
    </row>
    <row r="222">
      <c r="E222" s="108"/>
      <c r="F222" s="108"/>
    </row>
    <row r="223">
      <c r="E223" s="108"/>
      <c r="F223" s="108"/>
    </row>
    <row r="224">
      <c r="E224" s="108"/>
      <c r="F224" s="108"/>
    </row>
    <row r="225">
      <c r="E225" s="108"/>
      <c r="F225" s="108"/>
    </row>
    <row r="226">
      <c r="E226" s="108"/>
      <c r="F226" s="108"/>
    </row>
    <row r="227">
      <c r="E227" s="108"/>
      <c r="F227" s="108"/>
    </row>
    <row r="228">
      <c r="E228" s="108"/>
      <c r="F228" s="108"/>
    </row>
    <row r="229">
      <c r="E229" s="108"/>
      <c r="F229" s="108"/>
    </row>
    <row r="230">
      <c r="E230" s="108"/>
      <c r="F230" s="108"/>
    </row>
    <row r="231">
      <c r="E231" s="108"/>
      <c r="F231" s="108"/>
    </row>
    <row r="232">
      <c r="E232" s="108"/>
      <c r="F232" s="108"/>
    </row>
    <row r="233">
      <c r="E233" s="108"/>
      <c r="F233" s="108"/>
    </row>
    <row r="234">
      <c r="E234" s="108"/>
      <c r="F234" s="108"/>
    </row>
    <row r="235">
      <c r="E235" s="108"/>
      <c r="F235" s="108"/>
    </row>
    <row r="236">
      <c r="E236" s="108"/>
      <c r="F236" s="108"/>
    </row>
    <row r="237">
      <c r="E237" s="108"/>
      <c r="F237" s="108"/>
    </row>
    <row r="238">
      <c r="E238" s="108"/>
      <c r="F238" s="108"/>
    </row>
    <row r="239">
      <c r="E239" s="108"/>
      <c r="F239" s="108"/>
    </row>
    <row r="240">
      <c r="E240" s="108"/>
      <c r="F240" s="108"/>
    </row>
    <row r="241">
      <c r="E241" s="108"/>
      <c r="F241" s="108"/>
    </row>
    <row r="242">
      <c r="E242" s="108"/>
      <c r="F242" s="108"/>
    </row>
    <row r="243">
      <c r="E243" s="108"/>
      <c r="F243" s="108"/>
    </row>
    <row r="244">
      <c r="E244" s="108"/>
      <c r="F244" s="108"/>
    </row>
    <row r="245">
      <c r="E245" s="108"/>
      <c r="F245" s="108"/>
    </row>
    <row r="246">
      <c r="E246" s="108"/>
      <c r="F246" s="108"/>
    </row>
    <row r="247">
      <c r="E247" s="108"/>
      <c r="F247" s="108"/>
    </row>
    <row r="248">
      <c r="E248" s="108"/>
      <c r="F248" s="108"/>
    </row>
    <row r="249">
      <c r="E249" s="108"/>
      <c r="F249" s="108"/>
    </row>
    <row r="250">
      <c r="E250" s="108"/>
      <c r="F250" s="108"/>
    </row>
    <row r="251">
      <c r="E251" s="108"/>
      <c r="F251" s="108"/>
    </row>
    <row r="252">
      <c r="E252" s="108"/>
      <c r="F252" s="108"/>
    </row>
    <row r="253">
      <c r="E253" s="108"/>
      <c r="F253" s="108"/>
    </row>
    <row r="254">
      <c r="E254" s="108"/>
      <c r="F254" s="108"/>
    </row>
    <row r="255">
      <c r="E255" s="108"/>
      <c r="F255" s="108"/>
    </row>
    <row r="256">
      <c r="E256" s="108"/>
      <c r="F256" s="108"/>
    </row>
    <row r="257">
      <c r="E257" s="108"/>
      <c r="F257" s="108"/>
    </row>
    <row r="258">
      <c r="E258" s="108"/>
      <c r="F258" s="108"/>
    </row>
    <row r="259">
      <c r="E259" s="108"/>
      <c r="F259" s="108"/>
    </row>
    <row r="260">
      <c r="E260" s="108"/>
      <c r="F260" s="108"/>
    </row>
    <row r="261">
      <c r="E261" s="108"/>
      <c r="F261" s="108"/>
    </row>
    <row r="262">
      <c r="E262" s="108"/>
      <c r="F262" s="108"/>
    </row>
    <row r="263">
      <c r="E263" s="108"/>
      <c r="F263" s="108"/>
    </row>
    <row r="264">
      <c r="E264" s="108"/>
      <c r="F264" s="108"/>
    </row>
    <row r="265">
      <c r="E265" s="108"/>
      <c r="F265" s="108"/>
    </row>
    <row r="266">
      <c r="E266" s="108"/>
      <c r="F266" s="108"/>
    </row>
    <row r="267">
      <c r="E267" s="108"/>
      <c r="F267" s="108"/>
    </row>
    <row r="268">
      <c r="E268" s="108"/>
      <c r="F268" s="108"/>
    </row>
    <row r="269">
      <c r="E269" s="108"/>
      <c r="F269" s="108"/>
    </row>
    <row r="270">
      <c r="E270" s="108"/>
      <c r="F270" s="108"/>
    </row>
    <row r="271">
      <c r="E271" s="108"/>
      <c r="F271" s="108"/>
    </row>
    <row r="272">
      <c r="E272" s="108"/>
      <c r="F272" s="108"/>
    </row>
    <row r="273">
      <c r="E273" s="108"/>
      <c r="F273" s="108"/>
    </row>
    <row r="274">
      <c r="E274" s="108"/>
      <c r="F274" s="108"/>
    </row>
    <row r="275">
      <c r="E275" s="108"/>
      <c r="F275" s="108"/>
    </row>
    <row r="276">
      <c r="E276" s="108"/>
      <c r="F276" s="108"/>
    </row>
    <row r="277">
      <c r="E277" s="108"/>
      <c r="F277" s="108"/>
    </row>
    <row r="278">
      <c r="E278" s="108"/>
      <c r="F278" s="108"/>
    </row>
    <row r="279">
      <c r="E279" s="108"/>
      <c r="F279" s="108"/>
    </row>
    <row r="280">
      <c r="E280" s="108"/>
      <c r="F280" s="108"/>
    </row>
    <row r="281">
      <c r="E281" s="108"/>
      <c r="F281" s="108"/>
    </row>
    <row r="282">
      <c r="E282" s="108"/>
      <c r="F282" s="108"/>
    </row>
    <row r="283">
      <c r="E283" s="108"/>
      <c r="F283" s="108"/>
    </row>
    <row r="284">
      <c r="E284" s="108"/>
      <c r="F284" s="108"/>
    </row>
    <row r="285">
      <c r="E285" s="108"/>
      <c r="F285" s="108"/>
    </row>
    <row r="286">
      <c r="E286" s="108"/>
      <c r="F286" s="108"/>
    </row>
    <row r="287">
      <c r="E287" s="108"/>
      <c r="F287" s="108"/>
    </row>
    <row r="288">
      <c r="E288" s="108"/>
      <c r="F288" s="108"/>
    </row>
    <row r="289">
      <c r="E289" s="108"/>
      <c r="F289" s="108"/>
    </row>
    <row r="290">
      <c r="E290" s="108"/>
      <c r="F290" s="108"/>
    </row>
    <row r="291">
      <c r="E291" s="108"/>
      <c r="F291" s="108"/>
    </row>
    <row r="292">
      <c r="E292" s="108"/>
      <c r="F292" s="108"/>
    </row>
    <row r="293">
      <c r="E293" s="108"/>
      <c r="F293" s="108"/>
    </row>
    <row r="294">
      <c r="E294" s="108"/>
      <c r="F294" s="108"/>
    </row>
    <row r="295">
      <c r="E295" s="108"/>
      <c r="F295" s="108"/>
    </row>
    <row r="296">
      <c r="E296" s="108"/>
      <c r="F296" s="108"/>
    </row>
    <row r="297">
      <c r="E297" s="108"/>
      <c r="F297" s="108"/>
    </row>
    <row r="298">
      <c r="E298" s="108"/>
      <c r="F298" s="108"/>
    </row>
    <row r="299">
      <c r="E299" s="108"/>
      <c r="F299" s="108"/>
    </row>
    <row r="300">
      <c r="E300" s="108"/>
      <c r="F300" s="108"/>
    </row>
    <row r="301">
      <c r="E301" s="108"/>
      <c r="F301" s="108"/>
    </row>
    <row r="302">
      <c r="E302" s="108"/>
      <c r="F302" s="108"/>
    </row>
    <row r="303">
      <c r="E303" s="108"/>
      <c r="F303" s="108"/>
    </row>
    <row r="304">
      <c r="E304" s="108"/>
      <c r="F304" s="108"/>
    </row>
    <row r="305">
      <c r="E305" s="108"/>
      <c r="F305" s="108"/>
    </row>
    <row r="306">
      <c r="E306" s="108"/>
      <c r="F306" s="108"/>
    </row>
    <row r="307">
      <c r="E307" s="108"/>
      <c r="F307" s="108"/>
    </row>
    <row r="308">
      <c r="E308" s="108"/>
      <c r="F308" s="108"/>
    </row>
    <row r="309">
      <c r="E309" s="108"/>
      <c r="F309" s="108"/>
    </row>
    <row r="310">
      <c r="E310" s="108"/>
      <c r="F310" s="108"/>
    </row>
    <row r="311">
      <c r="E311" s="108"/>
      <c r="F311" s="108"/>
    </row>
    <row r="312">
      <c r="E312" s="108"/>
      <c r="F312" s="108"/>
    </row>
    <row r="313">
      <c r="E313" s="108"/>
      <c r="F313" s="108"/>
    </row>
    <row r="314">
      <c r="E314" s="108"/>
      <c r="F314" s="108"/>
    </row>
    <row r="315">
      <c r="E315" s="108"/>
      <c r="F315" s="108"/>
    </row>
    <row r="316">
      <c r="E316" s="108"/>
      <c r="F316" s="108"/>
    </row>
    <row r="317">
      <c r="E317" s="108"/>
      <c r="F317" s="108"/>
    </row>
    <row r="318">
      <c r="E318" s="108"/>
      <c r="F318" s="108"/>
    </row>
    <row r="319">
      <c r="E319" s="108"/>
      <c r="F319" s="108"/>
    </row>
    <row r="320">
      <c r="E320" s="108"/>
      <c r="F320" s="108"/>
    </row>
    <row r="321">
      <c r="E321" s="108"/>
      <c r="F321" s="108"/>
    </row>
    <row r="322">
      <c r="E322" s="108"/>
      <c r="F322" s="108"/>
    </row>
    <row r="323">
      <c r="E323" s="108"/>
      <c r="F323" s="108"/>
    </row>
    <row r="324">
      <c r="E324" s="108"/>
      <c r="F324" s="108"/>
    </row>
    <row r="325">
      <c r="E325" s="108"/>
      <c r="F325" s="108"/>
    </row>
    <row r="326">
      <c r="E326" s="108"/>
      <c r="F326" s="108"/>
    </row>
    <row r="327">
      <c r="E327" s="108"/>
      <c r="F327" s="108"/>
    </row>
    <row r="328">
      <c r="E328" s="108"/>
      <c r="F328" s="108"/>
    </row>
    <row r="329">
      <c r="E329" s="108"/>
      <c r="F329" s="108"/>
    </row>
    <row r="330">
      <c r="E330" s="108"/>
      <c r="F330" s="108"/>
    </row>
    <row r="331">
      <c r="E331" s="108"/>
      <c r="F331" s="108"/>
    </row>
    <row r="332">
      <c r="E332" s="108"/>
      <c r="F332" s="108"/>
    </row>
    <row r="333">
      <c r="E333" s="108"/>
      <c r="F333" s="108"/>
    </row>
    <row r="334">
      <c r="E334" s="108"/>
      <c r="F334" s="108"/>
    </row>
    <row r="335">
      <c r="E335" s="108"/>
      <c r="F335" s="108"/>
    </row>
    <row r="336">
      <c r="E336" s="108"/>
      <c r="F336" s="108"/>
    </row>
    <row r="337">
      <c r="E337" s="108"/>
      <c r="F337" s="108"/>
    </row>
    <row r="338">
      <c r="E338" s="108"/>
      <c r="F338" s="108"/>
    </row>
    <row r="339">
      <c r="E339" s="108"/>
      <c r="F339" s="108"/>
    </row>
    <row r="340">
      <c r="E340" s="108"/>
      <c r="F340" s="108"/>
    </row>
    <row r="341">
      <c r="E341" s="108"/>
      <c r="F341" s="108"/>
    </row>
    <row r="342">
      <c r="E342" s="108"/>
      <c r="F342" s="108"/>
    </row>
    <row r="343">
      <c r="E343" s="108"/>
      <c r="F343" s="108"/>
    </row>
    <row r="344">
      <c r="E344" s="108"/>
      <c r="F344" s="108"/>
    </row>
    <row r="345">
      <c r="E345" s="108"/>
      <c r="F345" s="108"/>
    </row>
    <row r="346">
      <c r="E346" s="108"/>
      <c r="F346" s="108"/>
    </row>
    <row r="347">
      <c r="E347" s="108"/>
      <c r="F347" s="108"/>
    </row>
    <row r="348">
      <c r="E348" s="108"/>
      <c r="F348" s="108"/>
    </row>
    <row r="349">
      <c r="E349" s="108"/>
      <c r="F349" s="108"/>
    </row>
    <row r="350">
      <c r="E350" s="108"/>
      <c r="F350" s="108"/>
    </row>
    <row r="351">
      <c r="E351" s="108"/>
      <c r="F351" s="108"/>
    </row>
    <row r="352">
      <c r="E352" s="108"/>
      <c r="F352" s="108"/>
    </row>
    <row r="353">
      <c r="E353" s="108"/>
      <c r="F353" s="108"/>
    </row>
    <row r="354">
      <c r="E354" s="108"/>
      <c r="F354" s="108"/>
    </row>
    <row r="355">
      <c r="E355" s="108"/>
      <c r="F355" s="108"/>
    </row>
    <row r="356">
      <c r="E356" s="108"/>
      <c r="F356" s="108"/>
    </row>
    <row r="357">
      <c r="E357" s="108"/>
      <c r="F357" s="108"/>
    </row>
    <row r="358">
      <c r="E358" s="108"/>
      <c r="F358" s="108"/>
    </row>
    <row r="359">
      <c r="E359" s="108"/>
      <c r="F359" s="108"/>
    </row>
    <row r="360">
      <c r="E360" s="108"/>
      <c r="F360" s="108"/>
    </row>
    <row r="361">
      <c r="E361" s="108"/>
      <c r="F361" s="108"/>
    </row>
    <row r="362">
      <c r="E362" s="108"/>
      <c r="F362" s="108"/>
    </row>
    <row r="363">
      <c r="E363" s="108"/>
      <c r="F363" s="108"/>
    </row>
    <row r="364">
      <c r="E364" s="108"/>
      <c r="F364" s="108"/>
    </row>
    <row r="365">
      <c r="E365" s="108"/>
      <c r="F365" s="108"/>
    </row>
    <row r="366">
      <c r="E366" s="108"/>
      <c r="F366" s="108"/>
    </row>
    <row r="367">
      <c r="E367" s="108"/>
      <c r="F367" s="108"/>
    </row>
    <row r="368">
      <c r="E368" s="108"/>
      <c r="F368" s="108"/>
    </row>
    <row r="369">
      <c r="E369" s="108"/>
      <c r="F369" s="108"/>
    </row>
    <row r="370">
      <c r="E370" s="108"/>
      <c r="F370" s="108"/>
    </row>
    <row r="371">
      <c r="E371" s="108"/>
      <c r="F371" s="108"/>
    </row>
    <row r="372">
      <c r="E372" s="108"/>
      <c r="F372" s="108"/>
    </row>
    <row r="373">
      <c r="E373" s="108"/>
      <c r="F373" s="108"/>
    </row>
    <row r="374">
      <c r="E374" s="108"/>
      <c r="F374" s="108"/>
    </row>
    <row r="375">
      <c r="E375" s="108"/>
      <c r="F375" s="108"/>
    </row>
    <row r="376">
      <c r="E376" s="108"/>
      <c r="F376" s="108"/>
    </row>
    <row r="377">
      <c r="E377" s="108"/>
      <c r="F377" s="108"/>
    </row>
    <row r="378">
      <c r="E378" s="108"/>
      <c r="F378" s="108"/>
    </row>
    <row r="379">
      <c r="E379" s="108"/>
      <c r="F379" s="108"/>
    </row>
    <row r="380">
      <c r="E380" s="108"/>
      <c r="F380" s="108"/>
    </row>
    <row r="381">
      <c r="E381" s="108"/>
      <c r="F381" s="108"/>
    </row>
    <row r="382">
      <c r="E382" s="108"/>
      <c r="F382" s="108"/>
    </row>
    <row r="383">
      <c r="E383" s="108"/>
      <c r="F383" s="108"/>
    </row>
    <row r="384">
      <c r="E384" s="108"/>
      <c r="F384" s="108"/>
    </row>
    <row r="385">
      <c r="E385" s="108"/>
      <c r="F385" s="108"/>
    </row>
    <row r="386">
      <c r="E386" s="108"/>
      <c r="F386" s="108"/>
    </row>
    <row r="387">
      <c r="E387" s="108"/>
      <c r="F387" s="108"/>
    </row>
    <row r="388">
      <c r="E388" s="108"/>
      <c r="F388" s="108"/>
    </row>
    <row r="389">
      <c r="E389" s="108"/>
      <c r="F389" s="108"/>
    </row>
    <row r="390">
      <c r="E390" s="108"/>
      <c r="F390" s="108"/>
    </row>
    <row r="391">
      <c r="E391" s="108"/>
      <c r="F391" s="108"/>
    </row>
    <row r="392">
      <c r="E392" s="108"/>
      <c r="F392" s="108"/>
    </row>
    <row r="393">
      <c r="E393" s="108"/>
      <c r="F393" s="108"/>
    </row>
    <row r="394">
      <c r="E394" s="108"/>
      <c r="F394" s="108"/>
    </row>
    <row r="395">
      <c r="E395" s="108"/>
      <c r="F395" s="108"/>
    </row>
    <row r="396">
      <c r="E396" s="108"/>
      <c r="F396" s="108"/>
    </row>
    <row r="397">
      <c r="E397" s="108"/>
      <c r="F397" s="108"/>
    </row>
    <row r="398">
      <c r="E398" s="108"/>
      <c r="F398" s="108"/>
    </row>
    <row r="399">
      <c r="E399" s="108"/>
      <c r="F399" s="108"/>
    </row>
    <row r="400">
      <c r="E400" s="108"/>
      <c r="F400" s="108"/>
    </row>
    <row r="401">
      <c r="E401" s="108"/>
      <c r="F401" s="108"/>
    </row>
    <row r="402">
      <c r="E402" s="108"/>
      <c r="F402" s="108"/>
    </row>
    <row r="403">
      <c r="E403" s="108"/>
      <c r="F403" s="108"/>
    </row>
    <row r="404">
      <c r="E404" s="108"/>
      <c r="F404" s="108"/>
    </row>
    <row r="405">
      <c r="E405" s="108"/>
      <c r="F405" s="108"/>
    </row>
    <row r="406">
      <c r="E406" s="108"/>
      <c r="F406" s="108"/>
    </row>
    <row r="407">
      <c r="E407" s="108"/>
      <c r="F407" s="108"/>
    </row>
    <row r="408">
      <c r="E408" s="108"/>
      <c r="F408" s="108"/>
    </row>
    <row r="409">
      <c r="E409" s="108"/>
      <c r="F409" s="108"/>
    </row>
    <row r="410">
      <c r="E410" s="108"/>
      <c r="F410" s="108"/>
    </row>
    <row r="411">
      <c r="E411" s="108"/>
      <c r="F411" s="108"/>
    </row>
    <row r="412">
      <c r="E412" s="108"/>
      <c r="F412" s="108"/>
    </row>
    <row r="413">
      <c r="E413" s="108"/>
      <c r="F413" s="108"/>
    </row>
    <row r="414">
      <c r="E414" s="108"/>
      <c r="F414" s="108"/>
    </row>
    <row r="415">
      <c r="E415" s="108"/>
      <c r="F415" s="108"/>
    </row>
    <row r="416">
      <c r="E416" s="108"/>
      <c r="F416" s="108"/>
    </row>
    <row r="417">
      <c r="E417" s="108"/>
      <c r="F417" s="108"/>
    </row>
    <row r="418">
      <c r="E418" s="108"/>
      <c r="F418" s="108"/>
    </row>
    <row r="419">
      <c r="E419" s="108"/>
      <c r="F419" s="108"/>
    </row>
    <row r="420">
      <c r="E420" s="108"/>
      <c r="F420" s="108"/>
    </row>
    <row r="421">
      <c r="E421" s="108"/>
      <c r="F421" s="108"/>
    </row>
    <row r="422">
      <c r="E422" s="108"/>
      <c r="F422" s="108"/>
    </row>
    <row r="423">
      <c r="E423" s="108"/>
      <c r="F423" s="108"/>
    </row>
    <row r="424">
      <c r="E424" s="108"/>
      <c r="F424" s="108"/>
    </row>
    <row r="425">
      <c r="E425" s="108"/>
      <c r="F425" s="108"/>
    </row>
    <row r="426">
      <c r="E426" s="108"/>
      <c r="F426" s="108"/>
    </row>
    <row r="427">
      <c r="E427" s="108"/>
      <c r="F427" s="108"/>
    </row>
    <row r="428">
      <c r="E428" s="108"/>
      <c r="F428" s="108"/>
    </row>
    <row r="429">
      <c r="E429" s="108"/>
      <c r="F429" s="108"/>
    </row>
    <row r="430">
      <c r="E430" s="108"/>
      <c r="F430" s="108"/>
    </row>
    <row r="431">
      <c r="E431" s="108"/>
      <c r="F431" s="108"/>
    </row>
    <row r="432">
      <c r="E432" s="108"/>
      <c r="F432" s="108"/>
    </row>
    <row r="433">
      <c r="E433" s="108"/>
      <c r="F433" s="108"/>
    </row>
    <row r="434">
      <c r="E434" s="108"/>
      <c r="F434" s="108"/>
    </row>
    <row r="435">
      <c r="E435" s="108"/>
      <c r="F435" s="108"/>
    </row>
    <row r="436">
      <c r="E436" s="108"/>
      <c r="F436" s="108"/>
    </row>
    <row r="437">
      <c r="E437" s="108"/>
      <c r="F437" s="108"/>
    </row>
    <row r="438">
      <c r="E438" s="108"/>
      <c r="F438" s="108"/>
    </row>
    <row r="439">
      <c r="E439" s="108"/>
      <c r="F439" s="108"/>
    </row>
    <row r="440">
      <c r="E440" s="108"/>
      <c r="F440" s="108"/>
    </row>
    <row r="441">
      <c r="E441" s="108"/>
      <c r="F441" s="108"/>
    </row>
    <row r="442">
      <c r="E442" s="108"/>
      <c r="F442" s="108"/>
    </row>
    <row r="443">
      <c r="E443" s="108"/>
      <c r="F443" s="108"/>
    </row>
    <row r="444">
      <c r="E444" s="108"/>
      <c r="F444" s="108"/>
    </row>
    <row r="445">
      <c r="E445" s="108"/>
      <c r="F445" s="108"/>
    </row>
    <row r="446">
      <c r="E446" s="108"/>
      <c r="F446" s="108"/>
    </row>
    <row r="447">
      <c r="E447" s="108"/>
      <c r="F447" s="108"/>
    </row>
    <row r="448">
      <c r="E448" s="108"/>
      <c r="F448" s="108"/>
    </row>
    <row r="449">
      <c r="E449" s="108"/>
      <c r="F449" s="108"/>
    </row>
    <row r="450">
      <c r="E450" s="108"/>
      <c r="F450" s="108"/>
    </row>
    <row r="451">
      <c r="E451" s="108"/>
      <c r="F451" s="108"/>
    </row>
    <row r="452">
      <c r="E452" s="108"/>
      <c r="F452" s="108"/>
    </row>
    <row r="453">
      <c r="E453" s="108"/>
      <c r="F453" s="108"/>
    </row>
    <row r="454">
      <c r="E454" s="108"/>
      <c r="F454" s="108"/>
    </row>
    <row r="455">
      <c r="E455" s="108"/>
      <c r="F455" s="108"/>
    </row>
    <row r="456">
      <c r="E456" s="108"/>
      <c r="F456" s="108"/>
    </row>
    <row r="457">
      <c r="E457" s="108"/>
      <c r="F457" s="108"/>
    </row>
    <row r="458">
      <c r="E458" s="108"/>
      <c r="F458" s="108"/>
    </row>
    <row r="459">
      <c r="E459" s="108"/>
      <c r="F459" s="108"/>
    </row>
    <row r="460">
      <c r="E460" s="108"/>
      <c r="F460" s="108"/>
    </row>
    <row r="461">
      <c r="E461" s="108"/>
      <c r="F461" s="108"/>
    </row>
    <row r="462">
      <c r="E462" s="108"/>
      <c r="F462" s="108"/>
    </row>
    <row r="463">
      <c r="E463" s="108"/>
      <c r="F463" s="108"/>
    </row>
    <row r="464">
      <c r="E464" s="108"/>
      <c r="F464" s="108"/>
    </row>
    <row r="465">
      <c r="E465" s="108"/>
      <c r="F465" s="108"/>
    </row>
    <row r="466">
      <c r="E466" s="108"/>
      <c r="F466" s="108"/>
    </row>
    <row r="467">
      <c r="E467" s="108"/>
      <c r="F467" s="108"/>
    </row>
    <row r="468">
      <c r="E468" s="108"/>
      <c r="F468" s="108"/>
    </row>
    <row r="469">
      <c r="E469" s="108"/>
      <c r="F469" s="108"/>
    </row>
    <row r="470">
      <c r="E470" s="108"/>
      <c r="F470" s="108"/>
    </row>
    <row r="471">
      <c r="E471" s="108"/>
      <c r="F471" s="108"/>
    </row>
    <row r="472">
      <c r="E472" s="108"/>
      <c r="F472" s="108"/>
    </row>
    <row r="473">
      <c r="E473" s="108"/>
      <c r="F473" s="108"/>
    </row>
    <row r="474">
      <c r="E474" s="108"/>
      <c r="F474" s="108"/>
    </row>
    <row r="475">
      <c r="E475" s="108"/>
      <c r="F475" s="108"/>
    </row>
    <row r="476">
      <c r="E476" s="108"/>
      <c r="F476" s="108"/>
    </row>
    <row r="477">
      <c r="E477" s="108"/>
      <c r="F477" s="108"/>
    </row>
    <row r="478">
      <c r="E478" s="108"/>
      <c r="F478" s="108"/>
    </row>
    <row r="479">
      <c r="E479" s="108"/>
      <c r="F479" s="108"/>
    </row>
    <row r="480">
      <c r="E480" s="108"/>
      <c r="F480" s="108"/>
    </row>
    <row r="481">
      <c r="E481" s="108"/>
      <c r="F481" s="108"/>
    </row>
    <row r="482">
      <c r="E482" s="108"/>
      <c r="F482" s="108"/>
    </row>
    <row r="483">
      <c r="E483" s="108"/>
      <c r="F483" s="108"/>
    </row>
    <row r="484">
      <c r="E484" s="108"/>
      <c r="F484" s="108"/>
    </row>
    <row r="485">
      <c r="E485" s="108"/>
      <c r="F485" s="108"/>
    </row>
    <row r="486">
      <c r="E486" s="108"/>
      <c r="F486" s="108"/>
    </row>
    <row r="487">
      <c r="E487" s="108"/>
      <c r="F487" s="108"/>
    </row>
    <row r="488">
      <c r="E488" s="108"/>
      <c r="F488" s="108"/>
    </row>
    <row r="489">
      <c r="E489" s="108"/>
      <c r="F489" s="108"/>
    </row>
    <row r="490">
      <c r="E490" s="108"/>
      <c r="F490" s="108"/>
    </row>
    <row r="491">
      <c r="E491" s="108"/>
      <c r="F491" s="108"/>
    </row>
    <row r="492">
      <c r="E492" s="108"/>
      <c r="F492" s="108"/>
    </row>
    <row r="493">
      <c r="E493" s="108"/>
      <c r="F493" s="108"/>
    </row>
    <row r="494">
      <c r="E494" s="108"/>
      <c r="F494" s="108"/>
    </row>
    <row r="495">
      <c r="E495" s="108"/>
      <c r="F495" s="108"/>
    </row>
    <row r="496">
      <c r="E496" s="108"/>
      <c r="F496" s="108"/>
    </row>
    <row r="497">
      <c r="E497" s="108"/>
      <c r="F497" s="108"/>
    </row>
    <row r="498">
      <c r="E498" s="108"/>
      <c r="F498" s="108"/>
    </row>
    <row r="499">
      <c r="E499" s="108"/>
      <c r="F499" s="108"/>
    </row>
    <row r="500">
      <c r="E500" s="108"/>
      <c r="F500" s="108"/>
    </row>
    <row r="501">
      <c r="E501" s="108"/>
      <c r="F501" s="108"/>
    </row>
    <row r="502">
      <c r="E502" s="108"/>
      <c r="F502" s="108"/>
    </row>
    <row r="503">
      <c r="E503" s="108"/>
      <c r="F503" s="108"/>
    </row>
    <row r="504">
      <c r="E504" s="108"/>
      <c r="F504" s="108"/>
    </row>
    <row r="505">
      <c r="E505" s="108"/>
      <c r="F505" s="108"/>
    </row>
    <row r="506">
      <c r="E506" s="108"/>
      <c r="F506" s="108"/>
    </row>
    <row r="507">
      <c r="E507" s="108"/>
      <c r="F507" s="108"/>
    </row>
    <row r="508">
      <c r="E508" s="108"/>
      <c r="F508" s="108"/>
    </row>
    <row r="509">
      <c r="E509" s="108"/>
      <c r="F509" s="108"/>
    </row>
    <row r="510">
      <c r="E510" s="108"/>
      <c r="F510" s="108"/>
    </row>
    <row r="511">
      <c r="E511" s="108"/>
      <c r="F511" s="108"/>
    </row>
    <row r="512">
      <c r="E512" s="108"/>
      <c r="F512" s="108"/>
    </row>
    <row r="513">
      <c r="E513" s="108"/>
      <c r="F513" s="108"/>
    </row>
    <row r="514">
      <c r="E514" s="108"/>
      <c r="F514" s="108"/>
    </row>
    <row r="515">
      <c r="E515" s="108"/>
      <c r="F515" s="108"/>
    </row>
    <row r="516">
      <c r="E516" s="108"/>
      <c r="F516" s="108"/>
    </row>
    <row r="517">
      <c r="E517" s="108"/>
      <c r="F517" s="108"/>
    </row>
    <row r="518">
      <c r="E518" s="108"/>
      <c r="F518" s="108"/>
    </row>
    <row r="519">
      <c r="E519" s="108"/>
      <c r="F519" s="108"/>
    </row>
    <row r="520">
      <c r="E520" s="108"/>
      <c r="F520" s="108"/>
    </row>
    <row r="521">
      <c r="E521" s="108"/>
      <c r="F521" s="108"/>
    </row>
    <row r="522">
      <c r="E522" s="108"/>
      <c r="F522" s="108"/>
    </row>
    <row r="523">
      <c r="E523" s="108"/>
      <c r="F523" s="108"/>
    </row>
    <row r="524">
      <c r="E524" s="108"/>
      <c r="F524" s="108"/>
    </row>
    <row r="525">
      <c r="E525" s="108"/>
      <c r="F525" s="108"/>
    </row>
    <row r="526">
      <c r="E526" s="108"/>
      <c r="F526" s="108"/>
    </row>
    <row r="527">
      <c r="E527" s="108"/>
      <c r="F527" s="108"/>
    </row>
    <row r="528">
      <c r="E528" s="108"/>
      <c r="F528" s="108"/>
    </row>
    <row r="529">
      <c r="E529" s="108"/>
      <c r="F529" s="108"/>
    </row>
    <row r="530">
      <c r="E530" s="108"/>
      <c r="F530" s="108"/>
    </row>
    <row r="531">
      <c r="E531" s="108"/>
      <c r="F531" s="108"/>
    </row>
    <row r="532">
      <c r="E532" s="108"/>
      <c r="F532" s="108"/>
    </row>
    <row r="533">
      <c r="E533" s="108"/>
      <c r="F533" s="108"/>
    </row>
    <row r="534">
      <c r="E534" s="108"/>
      <c r="F534" s="108"/>
    </row>
    <row r="535">
      <c r="E535" s="108"/>
      <c r="F535" s="108"/>
    </row>
    <row r="536">
      <c r="E536" s="108"/>
      <c r="F536" s="108"/>
    </row>
    <row r="537">
      <c r="E537" s="108"/>
      <c r="F537" s="108"/>
    </row>
    <row r="538">
      <c r="E538" s="108"/>
      <c r="F538" s="108"/>
    </row>
    <row r="539">
      <c r="E539" s="108"/>
      <c r="F539" s="108"/>
    </row>
    <row r="540">
      <c r="E540" s="108"/>
      <c r="F540" s="108"/>
    </row>
    <row r="541">
      <c r="E541" s="108"/>
      <c r="F541" s="108"/>
    </row>
    <row r="542">
      <c r="E542" s="108"/>
      <c r="F542" s="108"/>
    </row>
    <row r="543">
      <c r="E543" s="108"/>
      <c r="F543" s="108"/>
    </row>
    <row r="544">
      <c r="E544" s="108"/>
      <c r="F544" s="108"/>
    </row>
    <row r="545">
      <c r="E545" s="108"/>
      <c r="F545" s="108"/>
    </row>
    <row r="546">
      <c r="E546" s="108"/>
      <c r="F546" s="108"/>
    </row>
    <row r="547">
      <c r="E547" s="108"/>
      <c r="F547" s="108"/>
    </row>
    <row r="548">
      <c r="E548" s="108"/>
      <c r="F548" s="108"/>
    </row>
    <row r="549">
      <c r="E549" s="108"/>
      <c r="F549" s="108"/>
    </row>
    <row r="550">
      <c r="E550" s="108"/>
      <c r="F550" s="108"/>
    </row>
    <row r="551">
      <c r="E551" s="108"/>
      <c r="F551" s="108"/>
    </row>
    <row r="552">
      <c r="E552" s="108"/>
      <c r="F552" s="108"/>
    </row>
    <row r="553">
      <c r="E553" s="108"/>
      <c r="F553" s="108"/>
    </row>
    <row r="554">
      <c r="E554" s="108"/>
      <c r="F554" s="108"/>
    </row>
    <row r="555">
      <c r="E555" s="108"/>
      <c r="F555" s="108"/>
    </row>
    <row r="556">
      <c r="E556" s="108"/>
      <c r="F556" s="108"/>
    </row>
    <row r="557">
      <c r="E557" s="108"/>
      <c r="F557" s="108"/>
    </row>
    <row r="558">
      <c r="E558" s="108"/>
      <c r="F558" s="108"/>
    </row>
    <row r="559">
      <c r="E559" s="108"/>
      <c r="F559" s="108"/>
    </row>
    <row r="560">
      <c r="E560" s="108"/>
      <c r="F560" s="108"/>
    </row>
    <row r="561">
      <c r="E561" s="108"/>
      <c r="F561" s="108"/>
    </row>
    <row r="562">
      <c r="E562" s="108"/>
      <c r="F562" s="108"/>
    </row>
    <row r="563">
      <c r="E563" s="108"/>
      <c r="F563" s="108"/>
    </row>
    <row r="564">
      <c r="E564" s="108"/>
      <c r="F564" s="108"/>
    </row>
    <row r="565">
      <c r="E565" s="108"/>
      <c r="F565" s="108"/>
    </row>
    <row r="566">
      <c r="E566" s="108"/>
      <c r="F566" s="108"/>
    </row>
    <row r="567">
      <c r="E567" s="108"/>
      <c r="F567" s="108"/>
    </row>
    <row r="568">
      <c r="E568" s="108"/>
      <c r="F568" s="108"/>
    </row>
    <row r="569">
      <c r="E569" s="108"/>
      <c r="F569" s="108"/>
    </row>
    <row r="570">
      <c r="E570" s="108"/>
      <c r="F570" s="108"/>
    </row>
    <row r="571">
      <c r="E571" s="108"/>
      <c r="F571" s="108"/>
    </row>
    <row r="572">
      <c r="E572" s="108"/>
      <c r="F572" s="108"/>
    </row>
    <row r="573">
      <c r="E573" s="108"/>
      <c r="F573" s="108"/>
    </row>
    <row r="574">
      <c r="E574" s="108"/>
      <c r="F574" s="108"/>
    </row>
    <row r="575">
      <c r="E575" s="108"/>
      <c r="F575" s="108"/>
    </row>
    <row r="576">
      <c r="E576" s="108"/>
      <c r="F576" s="108"/>
    </row>
    <row r="577">
      <c r="E577" s="108"/>
      <c r="F577" s="108"/>
    </row>
    <row r="578">
      <c r="E578" s="108"/>
      <c r="F578" s="108"/>
    </row>
    <row r="579">
      <c r="E579" s="108"/>
      <c r="F579" s="108"/>
    </row>
    <row r="580">
      <c r="E580" s="108"/>
      <c r="F580" s="108"/>
    </row>
    <row r="581">
      <c r="E581" s="108"/>
      <c r="F581" s="108"/>
    </row>
    <row r="582">
      <c r="E582" s="108"/>
      <c r="F582" s="108"/>
    </row>
    <row r="583">
      <c r="E583" s="108"/>
      <c r="F583" s="108"/>
    </row>
    <row r="584">
      <c r="E584" s="108"/>
      <c r="F584" s="108"/>
    </row>
    <row r="585">
      <c r="E585" s="108"/>
      <c r="F585" s="108"/>
    </row>
    <row r="586">
      <c r="E586" s="108"/>
      <c r="F586" s="108"/>
    </row>
    <row r="587">
      <c r="E587" s="108"/>
      <c r="F587" s="108"/>
    </row>
    <row r="588">
      <c r="E588" s="108"/>
      <c r="F588" s="108"/>
    </row>
    <row r="589">
      <c r="E589" s="108"/>
      <c r="F589" s="108"/>
    </row>
    <row r="590">
      <c r="E590" s="108"/>
      <c r="F590" s="108"/>
    </row>
    <row r="591">
      <c r="E591" s="108"/>
      <c r="F591" s="108"/>
    </row>
    <row r="592">
      <c r="E592" s="108"/>
      <c r="F592" s="108"/>
    </row>
    <row r="593">
      <c r="E593" s="108"/>
      <c r="F593" s="108"/>
    </row>
    <row r="594">
      <c r="E594" s="108"/>
      <c r="F594" s="108"/>
    </row>
    <row r="595">
      <c r="E595" s="108"/>
      <c r="F595" s="108"/>
    </row>
    <row r="596">
      <c r="E596" s="108"/>
      <c r="F596" s="108"/>
    </row>
    <row r="597">
      <c r="E597" s="108"/>
      <c r="F597" s="108"/>
    </row>
    <row r="598">
      <c r="E598" s="108"/>
      <c r="F598" s="108"/>
    </row>
    <row r="599">
      <c r="E599" s="108"/>
      <c r="F599" s="108"/>
    </row>
    <row r="600">
      <c r="E600" s="108"/>
      <c r="F600" s="108"/>
    </row>
    <row r="601">
      <c r="E601" s="108"/>
      <c r="F601" s="108"/>
    </row>
    <row r="602">
      <c r="E602" s="108"/>
      <c r="F602" s="108"/>
    </row>
    <row r="603">
      <c r="E603" s="108"/>
      <c r="F603" s="108"/>
    </row>
    <row r="604">
      <c r="E604" s="108"/>
      <c r="F604" s="108"/>
    </row>
    <row r="605">
      <c r="E605" s="108"/>
      <c r="F605" s="108"/>
    </row>
    <row r="606">
      <c r="E606" s="108"/>
      <c r="F606" s="108"/>
    </row>
    <row r="607">
      <c r="E607" s="108"/>
      <c r="F607" s="108"/>
    </row>
    <row r="608">
      <c r="E608" s="108"/>
      <c r="F608" s="108"/>
    </row>
    <row r="609">
      <c r="E609" s="108"/>
      <c r="F609" s="108"/>
    </row>
    <row r="610">
      <c r="E610" s="108"/>
      <c r="F610" s="108"/>
    </row>
    <row r="611">
      <c r="E611" s="108"/>
      <c r="F611" s="108"/>
    </row>
    <row r="612">
      <c r="E612" s="108"/>
      <c r="F612" s="108"/>
    </row>
    <row r="613">
      <c r="E613" s="108"/>
      <c r="F613" s="108"/>
    </row>
    <row r="614">
      <c r="E614" s="108"/>
      <c r="F614" s="108"/>
    </row>
    <row r="615">
      <c r="E615" s="108"/>
      <c r="F615" s="108"/>
    </row>
    <row r="616">
      <c r="E616" s="108"/>
      <c r="F616" s="108"/>
    </row>
    <row r="617">
      <c r="E617" s="108"/>
      <c r="F617" s="108"/>
    </row>
    <row r="618">
      <c r="E618" s="108"/>
      <c r="F618" s="108"/>
    </row>
    <row r="619">
      <c r="E619" s="108"/>
      <c r="F619" s="108"/>
    </row>
    <row r="620">
      <c r="E620" s="108"/>
      <c r="F620" s="108"/>
    </row>
    <row r="621">
      <c r="E621" s="108"/>
      <c r="F621" s="108"/>
    </row>
    <row r="622">
      <c r="E622" s="108"/>
      <c r="F622" s="108"/>
    </row>
    <row r="623">
      <c r="E623" s="108"/>
      <c r="F623" s="108"/>
    </row>
    <row r="624">
      <c r="E624" s="108"/>
      <c r="F624" s="108"/>
    </row>
    <row r="625">
      <c r="E625" s="108"/>
      <c r="F625" s="108"/>
    </row>
    <row r="626">
      <c r="E626" s="108"/>
      <c r="F626" s="108"/>
    </row>
    <row r="627">
      <c r="E627" s="108"/>
      <c r="F627" s="108"/>
    </row>
    <row r="628">
      <c r="E628" s="108"/>
      <c r="F628" s="108"/>
    </row>
    <row r="629">
      <c r="E629" s="108"/>
      <c r="F629" s="108"/>
    </row>
    <row r="630">
      <c r="E630" s="108"/>
      <c r="F630" s="108"/>
    </row>
    <row r="631">
      <c r="E631" s="108"/>
      <c r="F631" s="108"/>
    </row>
    <row r="632">
      <c r="E632" s="108"/>
      <c r="F632" s="108"/>
    </row>
    <row r="633">
      <c r="E633" s="108"/>
      <c r="F633" s="108"/>
    </row>
    <row r="634">
      <c r="E634" s="108"/>
      <c r="F634" s="108"/>
    </row>
    <row r="635">
      <c r="E635" s="108"/>
      <c r="F635" s="108"/>
    </row>
    <row r="636">
      <c r="E636" s="108"/>
      <c r="F636" s="108"/>
    </row>
    <row r="637">
      <c r="E637" s="108"/>
      <c r="F637" s="108"/>
    </row>
    <row r="638">
      <c r="E638" s="108"/>
      <c r="F638" s="108"/>
    </row>
    <row r="639">
      <c r="E639" s="108"/>
      <c r="F639" s="108"/>
    </row>
    <row r="640">
      <c r="E640" s="108"/>
      <c r="F640" s="108"/>
    </row>
    <row r="641">
      <c r="E641" s="108"/>
      <c r="F641" s="108"/>
    </row>
    <row r="642">
      <c r="E642" s="108"/>
      <c r="F642" s="108"/>
    </row>
    <row r="643">
      <c r="E643" s="108"/>
      <c r="F643" s="108"/>
    </row>
    <row r="644">
      <c r="E644" s="108"/>
      <c r="F644" s="108"/>
    </row>
    <row r="645">
      <c r="E645" s="108"/>
      <c r="F645" s="108"/>
    </row>
    <row r="646">
      <c r="E646" s="108"/>
      <c r="F646" s="108"/>
    </row>
    <row r="647">
      <c r="E647" s="108"/>
      <c r="F647" s="108"/>
    </row>
    <row r="648">
      <c r="E648" s="108"/>
      <c r="F648" s="108"/>
    </row>
    <row r="649">
      <c r="E649" s="108"/>
      <c r="F649" s="108"/>
    </row>
    <row r="650">
      <c r="E650" s="108"/>
      <c r="F650" s="108"/>
    </row>
    <row r="651">
      <c r="E651" s="108"/>
      <c r="F651" s="108"/>
    </row>
    <row r="652">
      <c r="E652" s="108"/>
      <c r="F652" s="108"/>
    </row>
    <row r="653">
      <c r="E653" s="108"/>
      <c r="F653" s="108"/>
    </row>
    <row r="654">
      <c r="E654" s="108"/>
      <c r="F654" s="108"/>
    </row>
    <row r="655">
      <c r="E655" s="108"/>
      <c r="F655" s="108"/>
    </row>
    <row r="656">
      <c r="E656" s="108"/>
      <c r="F656" s="108"/>
    </row>
    <row r="657">
      <c r="E657" s="108"/>
      <c r="F657" s="108"/>
    </row>
    <row r="658">
      <c r="E658" s="108"/>
      <c r="F658" s="108"/>
    </row>
    <row r="659">
      <c r="E659" s="108"/>
      <c r="F659" s="108"/>
    </row>
    <row r="660">
      <c r="E660" s="108"/>
      <c r="F660" s="108"/>
    </row>
    <row r="661">
      <c r="E661" s="108"/>
      <c r="F661" s="108"/>
    </row>
    <row r="662">
      <c r="E662" s="108"/>
      <c r="F662" s="108"/>
    </row>
    <row r="663">
      <c r="E663" s="108"/>
      <c r="F663" s="108"/>
    </row>
    <row r="664">
      <c r="E664" s="108"/>
      <c r="F664" s="108"/>
    </row>
    <row r="665">
      <c r="E665" s="108"/>
      <c r="F665" s="108"/>
    </row>
    <row r="666">
      <c r="E666" s="108"/>
      <c r="F666" s="108"/>
    </row>
    <row r="667">
      <c r="E667" s="108"/>
      <c r="F667" s="108"/>
    </row>
    <row r="668">
      <c r="E668" s="108"/>
      <c r="F668" s="108"/>
    </row>
    <row r="669">
      <c r="E669" s="108"/>
      <c r="F669" s="108"/>
    </row>
    <row r="670">
      <c r="E670" s="108"/>
      <c r="F670" s="108"/>
    </row>
    <row r="671">
      <c r="E671" s="108"/>
      <c r="F671" s="108"/>
    </row>
    <row r="672">
      <c r="E672" s="108"/>
      <c r="F672" s="108"/>
    </row>
    <row r="673">
      <c r="E673" s="108"/>
      <c r="F673" s="108"/>
    </row>
    <row r="674">
      <c r="E674" s="108"/>
      <c r="F674" s="108"/>
    </row>
    <row r="675">
      <c r="E675" s="108"/>
      <c r="F675" s="108"/>
    </row>
    <row r="676">
      <c r="E676" s="108"/>
      <c r="F676" s="108"/>
    </row>
    <row r="677">
      <c r="E677" s="108"/>
      <c r="F677" s="108"/>
    </row>
    <row r="678">
      <c r="E678" s="108"/>
      <c r="F678" s="108"/>
    </row>
    <row r="679">
      <c r="E679" s="108"/>
      <c r="F679" s="108"/>
    </row>
    <row r="680">
      <c r="E680" s="108"/>
      <c r="F680" s="108"/>
    </row>
    <row r="681">
      <c r="E681" s="108"/>
      <c r="F681" s="108"/>
    </row>
    <row r="682">
      <c r="E682" s="108"/>
      <c r="F682" s="108"/>
    </row>
    <row r="683">
      <c r="E683" s="108"/>
      <c r="F683" s="108"/>
    </row>
    <row r="684">
      <c r="E684" s="108"/>
      <c r="F684" s="108"/>
    </row>
    <row r="685">
      <c r="E685" s="108"/>
      <c r="F685" s="108"/>
    </row>
    <row r="686">
      <c r="E686" s="108"/>
      <c r="F686" s="108"/>
    </row>
    <row r="687">
      <c r="E687" s="108"/>
      <c r="F687" s="108"/>
    </row>
    <row r="688">
      <c r="E688" s="108"/>
      <c r="F688" s="108"/>
    </row>
    <row r="689">
      <c r="E689" s="108"/>
      <c r="F689" s="108"/>
    </row>
    <row r="690">
      <c r="E690" s="108"/>
      <c r="F690" s="108"/>
    </row>
    <row r="691">
      <c r="E691" s="108"/>
      <c r="F691" s="108"/>
    </row>
    <row r="692">
      <c r="E692" s="108"/>
      <c r="F692" s="108"/>
    </row>
    <row r="693">
      <c r="E693" s="108"/>
      <c r="F693" s="108"/>
    </row>
    <row r="694">
      <c r="E694" s="108"/>
      <c r="F694" s="108"/>
    </row>
    <row r="695">
      <c r="E695" s="108"/>
      <c r="F695" s="108"/>
    </row>
    <row r="696">
      <c r="E696" s="108"/>
      <c r="F696" s="108"/>
    </row>
    <row r="697">
      <c r="E697" s="108"/>
      <c r="F697" s="108"/>
    </row>
    <row r="698">
      <c r="E698" s="108"/>
      <c r="F698" s="108"/>
    </row>
    <row r="699">
      <c r="E699" s="108"/>
      <c r="F699" s="108"/>
    </row>
    <row r="700">
      <c r="E700" s="108"/>
      <c r="F700" s="108"/>
    </row>
    <row r="701">
      <c r="E701" s="108"/>
      <c r="F701" s="108"/>
    </row>
    <row r="702">
      <c r="E702" s="108"/>
      <c r="F702" s="108"/>
    </row>
    <row r="703">
      <c r="E703" s="108"/>
      <c r="F703" s="108"/>
    </row>
    <row r="704">
      <c r="E704" s="108"/>
      <c r="F704" s="108"/>
    </row>
    <row r="705">
      <c r="E705" s="108"/>
      <c r="F705" s="108"/>
    </row>
    <row r="706">
      <c r="E706" s="108"/>
      <c r="F706" s="108"/>
    </row>
    <row r="707">
      <c r="E707" s="108"/>
      <c r="F707" s="108"/>
    </row>
    <row r="708">
      <c r="E708" s="108"/>
      <c r="F708" s="108"/>
    </row>
    <row r="709">
      <c r="E709" s="108"/>
      <c r="F709" s="108"/>
    </row>
    <row r="710">
      <c r="E710" s="108"/>
      <c r="F710" s="108"/>
    </row>
    <row r="711">
      <c r="E711" s="108"/>
      <c r="F711" s="108"/>
    </row>
    <row r="712">
      <c r="E712" s="108"/>
      <c r="F712" s="108"/>
    </row>
    <row r="713">
      <c r="E713" s="108"/>
      <c r="F713" s="108"/>
    </row>
    <row r="714">
      <c r="E714" s="108"/>
      <c r="F714" s="108"/>
    </row>
    <row r="715">
      <c r="E715" s="108"/>
      <c r="F715" s="108"/>
    </row>
    <row r="716">
      <c r="E716" s="108"/>
      <c r="F716" s="108"/>
    </row>
    <row r="717">
      <c r="E717" s="108"/>
      <c r="F717" s="108"/>
    </row>
    <row r="718">
      <c r="E718" s="108"/>
      <c r="F718" s="108"/>
    </row>
    <row r="719">
      <c r="E719" s="108"/>
      <c r="F719" s="108"/>
    </row>
    <row r="720">
      <c r="E720" s="108"/>
      <c r="F720" s="108"/>
    </row>
    <row r="721">
      <c r="E721" s="108"/>
      <c r="F721" s="108"/>
    </row>
    <row r="722">
      <c r="E722" s="108"/>
      <c r="F722" s="108"/>
    </row>
    <row r="723">
      <c r="E723" s="108"/>
      <c r="F723" s="108"/>
    </row>
    <row r="724">
      <c r="E724" s="108"/>
      <c r="F724" s="108"/>
    </row>
    <row r="725">
      <c r="E725" s="108"/>
      <c r="F725" s="108"/>
    </row>
    <row r="726">
      <c r="E726" s="108"/>
      <c r="F726" s="108"/>
    </row>
    <row r="727">
      <c r="E727" s="108"/>
      <c r="F727" s="108"/>
    </row>
    <row r="728">
      <c r="E728" s="108"/>
      <c r="F728" s="108"/>
    </row>
    <row r="729">
      <c r="E729" s="108"/>
      <c r="F729" s="108"/>
    </row>
    <row r="730">
      <c r="E730" s="108"/>
      <c r="F730" s="108"/>
    </row>
    <row r="731">
      <c r="E731" s="108"/>
      <c r="F731" s="108"/>
    </row>
    <row r="732">
      <c r="E732" s="108"/>
      <c r="F732" s="108"/>
    </row>
    <row r="733">
      <c r="E733" s="108"/>
      <c r="F733" s="108"/>
    </row>
    <row r="734">
      <c r="E734" s="108"/>
      <c r="F734" s="108"/>
    </row>
    <row r="735">
      <c r="E735" s="108"/>
      <c r="F735" s="108"/>
    </row>
    <row r="736">
      <c r="E736" s="108"/>
      <c r="F736" s="108"/>
    </row>
    <row r="737">
      <c r="E737" s="108"/>
      <c r="F737" s="108"/>
    </row>
    <row r="738">
      <c r="E738" s="108"/>
      <c r="F738" s="108"/>
    </row>
    <row r="739">
      <c r="E739" s="108"/>
      <c r="F739" s="108"/>
    </row>
    <row r="740">
      <c r="E740" s="108"/>
      <c r="F740" s="108"/>
    </row>
    <row r="741">
      <c r="E741" s="108"/>
      <c r="F741" s="108"/>
    </row>
    <row r="742">
      <c r="E742" s="108"/>
      <c r="F742" s="108"/>
    </row>
    <row r="743">
      <c r="E743" s="108"/>
      <c r="F743" s="108"/>
    </row>
    <row r="744">
      <c r="E744" s="108"/>
      <c r="F744" s="108"/>
    </row>
    <row r="745">
      <c r="E745" s="108"/>
      <c r="F745" s="108"/>
    </row>
    <row r="746">
      <c r="E746" s="108"/>
      <c r="F746" s="108"/>
    </row>
    <row r="747">
      <c r="E747" s="108"/>
      <c r="F747" s="108"/>
    </row>
    <row r="748">
      <c r="E748" s="108"/>
      <c r="F748" s="108"/>
    </row>
    <row r="749">
      <c r="E749" s="108"/>
      <c r="F749" s="108"/>
    </row>
    <row r="750">
      <c r="E750" s="108"/>
      <c r="F750" s="108"/>
    </row>
    <row r="751">
      <c r="E751" s="108"/>
      <c r="F751" s="108"/>
    </row>
    <row r="752">
      <c r="E752" s="108"/>
      <c r="F752" s="108"/>
    </row>
    <row r="753">
      <c r="E753" s="108"/>
      <c r="F753" s="108"/>
    </row>
    <row r="754">
      <c r="E754" s="108"/>
      <c r="F754" s="108"/>
    </row>
    <row r="755">
      <c r="E755" s="108"/>
      <c r="F755" s="108"/>
    </row>
    <row r="756">
      <c r="E756" s="108"/>
      <c r="F756" s="108"/>
    </row>
    <row r="757">
      <c r="E757" s="108"/>
      <c r="F757" s="108"/>
    </row>
    <row r="758">
      <c r="E758" s="108"/>
      <c r="F758" s="108"/>
    </row>
    <row r="759">
      <c r="E759" s="108"/>
      <c r="F759" s="108"/>
    </row>
    <row r="760">
      <c r="E760" s="108"/>
      <c r="F760" s="108"/>
    </row>
    <row r="761">
      <c r="E761" s="108"/>
      <c r="F761" s="108"/>
    </row>
    <row r="762">
      <c r="E762" s="108"/>
      <c r="F762" s="108"/>
    </row>
    <row r="763">
      <c r="E763" s="108"/>
      <c r="F763" s="108"/>
    </row>
    <row r="764">
      <c r="E764" s="108"/>
      <c r="F764" s="108"/>
    </row>
    <row r="765">
      <c r="E765" s="108"/>
      <c r="F765" s="108"/>
    </row>
    <row r="766">
      <c r="E766" s="108"/>
      <c r="F766" s="108"/>
    </row>
    <row r="767">
      <c r="E767" s="108"/>
      <c r="F767" s="108"/>
    </row>
    <row r="768">
      <c r="E768" s="108"/>
      <c r="F768" s="108"/>
    </row>
    <row r="769">
      <c r="E769" s="108"/>
      <c r="F769" s="108"/>
    </row>
    <row r="770">
      <c r="E770" s="108"/>
      <c r="F770" s="108"/>
    </row>
    <row r="771">
      <c r="E771" s="108"/>
      <c r="F771" s="108"/>
    </row>
    <row r="772">
      <c r="E772" s="108"/>
      <c r="F772" s="108"/>
    </row>
    <row r="773">
      <c r="E773" s="108"/>
      <c r="F773" s="108"/>
    </row>
    <row r="774">
      <c r="E774" s="108"/>
      <c r="F774" s="108"/>
    </row>
    <row r="775">
      <c r="E775" s="108"/>
      <c r="F775" s="108"/>
    </row>
    <row r="776">
      <c r="E776" s="108"/>
      <c r="F776" s="108"/>
    </row>
    <row r="777">
      <c r="E777" s="108"/>
      <c r="F777" s="108"/>
    </row>
    <row r="778">
      <c r="E778" s="108"/>
      <c r="F778" s="108"/>
    </row>
    <row r="779">
      <c r="E779" s="108"/>
      <c r="F779" s="108"/>
    </row>
    <row r="780">
      <c r="E780" s="108"/>
      <c r="F780" s="108"/>
    </row>
    <row r="781">
      <c r="E781" s="108"/>
      <c r="F781" s="108"/>
    </row>
    <row r="782">
      <c r="E782" s="108"/>
      <c r="F782" s="108"/>
    </row>
    <row r="783">
      <c r="E783" s="108"/>
      <c r="F783" s="108"/>
    </row>
    <row r="784">
      <c r="E784" s="108"/>
      <c r="F784" s="108"/>
    </row>
    <row r="785">
      <c r="E785" s="108"/>
      <c r="F785" s="108"/>
    </row>
    <row r="786">
      <c r="E786" s="108"/>
      <c r="F786" s="108"/>
    </row>
    <row r="787">
      <c r="E787" s="108"/>
      <c r="F787" s="108"/>
    </row>
    <row r="788">
      <c r="E788" s="108"/>
      <c r="F788" s="108"/>
    </row>
    <row r="789">
      <c r="E789" s="108"/>
      <c r="F789" s="108"/>
    </row>
    <row r="790">
      <c r="E790" s="108"/>
      <c r="F790" s="108"/>
    </row>
    <row r="791">
      <c r="E791" s="108"/>
      <c r="F791" s="108"/>
    </row>
    <row r="792">
      <c r="E792" s="108"/>
      <c r="F792" s="108"/>
    </row>
    <row r="793">
      <c r="E793" s="108"/>
      <c r="F793" s="108"/>
    </row>
    <row r="794">
      <c r="E794" s="108"/>
      <c r="F794" s="108"/>
    </row>
    <row r="795">
      <c r="E795" s="108"/>
      <c r="F795" s="108"/>
    </row>
    <row r="796">
      <c r="E796" s="108"/>
      <c r="F796" s="108"/>
    </row>
    <row r="797">
      <c r="E797" s="108"/>
      <c r="F797" s="108"/>
    </row>
    <row r="798">
      <c r="E798" s="108"/>
      <c r="F798" s="108"/>
    </row>
    <row r="799">
      <c r="E799" s="108"/>
      <c r="F799" s="108"/>
    </row>
    <row r="800">
      <c r="E800" s="108"/>
      <c r="F800" s="108"/>
    </row>
    <row r="801">
      <c r="E801" s="108"/>
      <c r="F801" s="108"/>
    </row>
    <row r="802">
      <c r="E802" s="108"/>
      <c r="F802" s="108"/>
    </row>
    <row r="803">
      <c r="E803" s="108"/>
      <c r="F803" s="108"/>
    </row>
    <row r="804">
      <c r="E804" s="108"/>
      <c r="F804" s="108"/>
    </row>
    <row r="805">
      <c r="E805" s="108"/>
      <c r="F805" s="108"/>
    </row>
    <row r="806">
      <c r="E806" s="108"/>
      <c r="F806" s="108"/>
    </row>
    <row r="807">
      <c r="E807" s="108"/>
      <c r="F807" s="108"/>
    </row>
    <row r="808">
      <c r="E808" s="108"/>
      <c r="F808" s="108"/>
    </row>
    <row r="809">
      <c r="E809" s="108"/>
      <c r="F809" s="108"/>
    </row>
    <row r="810">
      <c r="E810" s="108"/>
      <c r="F810" s="108"/>
    </row>
    <row r="811">
      <c r="E811" s="108"/>
      <c r="F811" s="108"/>
    </row>
    <row r="812">
      <c r="E812" s="108"/>
      <c r="F812" s="108"/>
    </row>
    <row r="813">
      <c r="E813" s="108"/>
      <c r="F813" s="108"/>
    </row>
    <row r="814">
      <c r="E814" s="108"/>
      <c r="F814" s="108"/>
    </row>
    <row r="815">
      <c r="E815" s="108"/>
      <c r="F815" s="108"/>
    </row>
    <row r="816">
      <c r="E816" s="108"/>
      <c r="F816" s="108"/>
    </row>
    <row r="817">
      <c r="E817" s="108"/>
      <c r="F817" s="108"/>
    </row>
    <row r="818">
      <c r="E818" s="108"/>
      <c r="F818" s="108"/>
    </row>
    <row r="819">
      <c r="E819" s="108"/>
      <c r="F819" s="108"/>
    </row>
    <row r="820">
      <c r="E820" s="108"/>
      <c r="F820" s="108"/>
    </row>
    <row r="821">
      <c r="E821" s="108"/>
      <c r="F821" s="108"/>
    </row>
    <row r="822">
      <c r="E822" s="108"/>
      <c r="F822" s="108"/>
    </row>
    <row r="823">
      <c r="E823" s="108"/>
      <c r="F823" s="108"/>
    </row>
    <row r="824">
      <c r="E824" s="108"/>
      <c r="F824" s="108"/>
    </row>
    <row r="825">
      <c r="E825" s="108"/>
      <c r="F825" s="108"/>
    </row>
    <row r="826">
      <c r="E826" s="108"/>
      <c r="F826" s="108"/>
    </row>
    <row r="827">
      <c r="E827" s="108"/>
      <c r="F827" s="108"/>
    </row>
    <row r="828">
      <c r="E828" s="108"/>
      <c r="F828" s="108"/>
    </row>
    <row r="829">
      <c r="E829" s="108"/>
      <c r="F829" s="108"/>
    </row>
    <row r="830">
      <c r="E830" s="108"/>
      <c r="F830" s="108"/>
    </row>
    <row r="831">
      <c r="E831" s="108"/>
      <c r="F831" s="108"/>
    </row>
    <row r="832">
      <c r="E832" s="108"/>
      <c r="F832" s="108"/>
    </row>
    <row r="833">
      <c r="E833" s="108"/>
      <c r="F833" s="108"/>
    </row>
    <row r="834">
      <c r="E834" s="108"/>
      <c r="F834" s="108"/>
    </row>
    <row r="835">
      <c r="E835" s="108"/>
      <c r="F835" s="108"/>
    </row>
    <row r="836">
      <c r="E836" s="108"/>
      <c r="F836" s="108"/>
    </row>
    <row r="837">
      <c r="E837" s="108"/>
      <c r="F837" s="108"/>
    </row>
    <row r="838">
      <c r="E838" s="108"/>
      <c r="F838" s="108"/>
    </row>
    <row r="839">
      <c r="E839" s="108"/>
      <c r="F839" s="108"/>
    </row>
    <row r="840">
      <c r="E840" s="108"/>
      <c r="F840" s="108"/>
    </row>
    <row r="841">
      <c r="E841" s="108"/>
      <c r="F841" s="108"/>
    </row>
    <row r="842">
      <c r="E842" s="108"/>
      <c r="F842" s="108"/>
    </row>
    <row r="843">
      <c r="E843" s="108"/>
      <c r="F843" s="108"/>
    </row>
    <row r="844">
      <c r="E844" s="108"/>
      <c r="F844" s="108"/>
    </row>
    <row r="845">
      <c r="E845" s="108"/>
      <c r="F845" s="108"/>
    </row>
    <row r="846">
      <c r="E846" s="108"/>
      <c r="F846" s="108"/>
    </row>
    <row r="847">
      <c r="E847" s="108"/>
      <c r="F847" s="108"/>
    </row>
    <row r="848">
      <c r="E848" s="108"/>
      <c r="F848" s="108"/>
    </row>
    <row r="849">
      <c r="E849" s="108"/>
      <c r="F849" s="108"/>
    </row>
    <row r="850">
      <c r="E850" s="108"/>
      <c r="F850" s="108"/>
    </row>
    <row r="851">
      <c r="E851" s="108"/>
      <c r="F851" s="108"/>
    </row>
    <row r="852">
      <c r="E852" s="108"/>
      <c r="F852" s="108"/>
    </row>
    <row r="853">
      <c r="E853" s="108"/>
      <c r="F853" s="108"/>
    </row>
    <row r="854">
      <c r="E854" s="108"/>
      <c r="F854" s="108"/>
    </row>
    <row r="855">
      <c r="E855" s="108"/>
      <c r="F855" s="108"/>
    </row>
    <row r="856">
      <c r="E856" s="108"/>
      <c r="F856" s="108"/>
    </row>
    <row r="857">
      <c r="E857" s="108"/>
      <c r="F857" s="108"/>
    </row>
    <row r="858">
      <c r="E858" s="108"/>
      <c r="F858" s="108"/>
    </row>
    <row r="859">
      <c r="E859" s="108"/>
      <c r="F859" s="108"/>
    </row>
    <row r="860">
      <c r="E860" s="108"/>
      <c r="F860" s="108"/>
    </row>
    <row r="861">
      <c r="E861" s="108"/>
      <c r="F861" s="108"/>
    </row>
    <row r="862">
      <c r="E862" s="108"/>
      <c r="F862" s="108"/>
    </row>
    <row r="863">
      <c r="E863" s="108"/>
      <c r="F863" s="108"/>
    </row>
    <row r="864">
      <c r="E864" s="108"/>
      <c r="F864" s="108"/>
    </row>
    <row r="865">
      <c r="E865" s="108"/>
      <c r="F865" s="108"/>
    </row>
    <row r="866">
      <c r="E866" s="108"/>
      <c r="F866" s="108"/>
    </row>
    <row r="867">
      <c r="E867" s="108"/>
      <c r="F867" s="108"/>
    </row>
    <row r="868">
      <c r="E868" s="108"/>
      <c r="F868" s="108"/>
    </row>
    <row r="869">
      <c r="E869" s="108"/>
      <c r="F869" s="108"/>
    </row>
    <row r="870">
      <c r="E870" s="108"/>
      <c r="F870" s="108"/>
    </row>
    <row r="871">
      <c r="E871" s="108"/>
      <c r="F871" s="108"/>
    </row>
    <row r="872">
      <c r="E872" s="108"/>
      <c r="F872" s="108"/>
    </row>
    <row r="873">
      <c r="E873" s="108"/>
      <c r="F873" s="108"/>
    </row>
    <row r="874">
      <c r="E874" s="108"/>
      <c r="F874" s="108"/>
    </row>
    <row r="875">
      <c r="E875" s="108"/>
      <c r="F875" s="108"/>
    </row>
    <row r="876">
      <c r="E876" s="108"/>
      <c r="F876" s="108"/>
    </row>
    <row r="877">
      <c r="E877" s="108"/>
      <c r="F877" s="108"/>
    </row>
    <row r="878">
      <c r="E878" s="108"/>
      <c r="F878" s="108"/>
    </row>
    <row r="879">
      <c r="E879" s="108"/>
      <c r="F879" s="108"/>
    </row>
    <row r="880">
      <c r="E880" s="108"/>
      <c r="F880" s="108"/>
    </row>
    <row r="881">
      <c r="E881" s="108"/>
      <c r="F881" s="108"/>
    </row>
    <row r="882">
      <c r="E882" s="108"/>
      <c r="F882" s="108"/>
    </row>
    <row r="883">
      <c r="E883" s="108"/>
      <c r="F883" s="108"/>
    </row>
    <row r="884">
      <c r="E884" s="108"/>
      <c r="F884" s="108"/>
    </row>
    <row r="885">
      <c r="E885" s="108"/>
      <c r="F885" s="108"/>
    </row>
    <row r="886">
      <c r="E886" s="108"/>
      <c r="F886" s="108"/>
    </row>
    <row r="887">
      <c r="E887" s="108"/>
      <c r="F887" s="108"/>
    </row>
    <row r="888">
      <c r="E888" s="108"/>
      <c r="F888" s="108"/>
    </row>
    <row r="889">
      <c r="E889" s="108"/>
      <c r="F889" s="108"/>
    </row>
    <row r="890">
      <c r="E890" s="108"/>
      <c r="F890" s="108"/>
    </row>
    <row r="891">
      <c r="E891" s="108"/>
      <c r="F891" s="108"/>
    </row>
    <row r="892">
      <c r="E892" s="108"/>
      <c r="F892" s="108"/>
    </row>
    <row r="893">
      <c r="E893" s="108"/>
      <c r="F893" s="108"/>
    </row>
    <row r="894">
      <c r="E894" s="108"/>
      <c r="F894" s="108"/>
    </row>
    <row r="895">
      <c r="E895" s="108"/>
      <c r="F895" s="108"/>
    </row>
    <row r="896">
      <c r="E896" s="108"/>
      <c r="F896" s="108"/>
    </row>
    <row r="897">
      <c r="E897" s="108"/>
      <c r="F897" s="108"/>
    </row>
    <row r="898">
      <c r="E898" s="108"/>
      <c r="F898" s="108"/>
    </row>
    <row r="899">
      <c r="E899" s="108"/>
      <c r="F899" s="108"/>
    </row>
    <row r="900">
      <c r="E900" s="108"/>
      <c r="F900" s="108"/>
    </row>
    <row r="901">
      <c r="E901" s="108"/>
      <c r="F901" s="108"/>
    </row>
    <row r="902">
      <c r="E902" s="108"/>
      <c r="F902" s="108"/>
    </row>
    <row r="903">
      <c r="E903" s="108"/>
      <c r="F903" s="108"/>
    </row>
    <row r="904">
      <c r="E904" s="108"/>
      <c r="F904" s="108"/>
    </row>
    <row r="905">
      <c r="E905" s="108"/>
      <c r="F905" s="108"/>
    </row>
    <row r="906">
      <c r="E906" s="108"/>
      <c r="F906" s="108"/>
    </row>
    <row r="907">
      <c r="E907" s="108"/>
      <c r="F907" s="108"/>
    </row>
    <row r="908">
      <c r="E908" s="108"/>
      <c r="F908" s="108"/>
    </row>
    <row r="909">
      <c r="E909" s="108"/>
      <c r="F909" s="108"/>
    </row>
    <row r="910">
      <c r="E910" s="108"/>
      <c r="F910" s="108"/>
    </row>
    <row r="911">
      <c r="E911" s="108"/>
      <c r="F911" s="108"/>
    </row>
    <row r="912">
      <c r="E912" s="108"/>
      <c r="F912" s="108"/>
    </row>
    <row r="913">
      <c r="E913" s="108"/>
      <c r="F913" s="108"/>
    </row>
    <row r="914">
      <c r="E914" s="108"/>
      <c r="F914" s="108"/>
    </row>
    <row r="915">
      <c r="E915" s="108"/>
      <c r="F915" s="108"/>
    </row>
    <row r="916">
      <c r="E916" s="108"/>
      <c r="F916" s="108"/>
    </row>
    <row r="917">
      <c r="E917" s="108"/>
      <c r="F917" s="108"/>
    </row>
    <row r="918">
      <c r="E918" s="108"/>
      <c r="F918" s="108"/>
    </row>
    <row r="919">
      <c r="E919" s="108"/>
      <c r="F919" s="108"/>
    </row>
    <row r="920">
      <c r="E920" s="108"/>
      <c r="F920" s="108"/>
    </row>
    <row r="921">
      <c r="E921" s="108"/>
      <c r="F921" s="108"/>
    </row>
    <row r="922">
      <c r="E922" s="108"/>
      <c r="F922" s="108"/>
    </row>
    <row r="923">
      <c r="E923" s="108"/>
      <c r="F923" s="108"/>
    </row>
    <row r="924">
      <c r="E924" s="108"/>
      <c r="F924" s="108"/>
    </row>
    <row r="925">
      <c r="E925" s="108"/>
      <c r="F925" s="108"/>
    </row>
    <row r="926">
      <c r="E926" s="108"/>
      <c r="F926" s="108"/>
    </row>
    <row r="927">
      <c r="E927" s="108"/>
      <c r="F927" s="108"/>
    </row>
    <row r="928">
      <c r="E928" s="108"/>
      <c r="F928" s="108"/>
    </row>
    <row r="929">
      <c r="E929" s="108"/>
      <c r="F929" s="108"/>
    </row>
    <row r="930">
      <c r="E930" s="108"/>
      <c r="F930" s="108"/>
    </row>
    <row r="931">
      <c r="E931" s="108"/>
      <c r="F931" s="108"/>
    </row>
    <row r="932">
      <c r="E932" s="108"/>
      <c r="F932" s="108"/>
    </row>
    <row r="933">
      <c r="E933" s="108"/>
      <c r="F933" s="108"/>
    </row>
    <row r="934">
      <c r="E934" s="108"/>
      <c r="F934" s="108"/>
    </row>
    <row r="935">
      <c r="E935" s="108"/>
      <c r="F935" s="108"/>
    </row>
    <row r="936">
      <c r="E936" s="108"/>
      <c r="F936" s="108"/>
    </row>
    <row r="937">
      <c r="E937" s="108"/>
      <c r="F937" s="108"/>
    </row>
    <row r="938">
      <c r="E938" s="108"/>
      <c r="F938" s="108"/>
    </row>
    <row r="939">
      <c r="E939" s="108"/>
      <c r="F939" s="108"/>
    </row>
    <row r="940">
      <c r="E940" s="108"/>
      <c r="F940" s="108"/>
    </row>
    <row r="941">
      <c r="E941" s="108"/>
      <c r="F941" s="108"/>
    </row>
    <row r="942">
      <c r="E942" s="108"/>
      <c r="F942" s="108"/>
    </row>
    <row r="943">
      <c r="E943" s="108"/>
      <c r="F943" s="108"/>
    </row>
    <row r="944">
      <c r="E944" s="108"/>
      <c r="F944" s="108"/>
    </row>
    <row r="945">
      <c r="E945" s="108"/>
      <c r="F945" s="108"/>
    </row>
    <row r="946">
      <c r="E946" s="108"/>
      <c r="F946" s="108"/>
    </row>
    <row r="947">
      <c r="E947" s="108"/>
      <c r="F947" s="108"/>
    </row>
    <row r="948">
      <c r="E948" s="108"/>
      <c r="F948" s="108"/>
    </row>
    <row r="949">
      <c r="E949" s="108"/>
      <c r="F949" s="108"/>
    </row>
    <row r="950">
      <c r="E950" s="108"/>
      <c r="F950" s="108"/>
    </row>
    <row r="951">
      <c r="E951" s="108"/>
      <c r="F951" s="108"/>
    </row>
    <row r="952">
      <c r="E952" s="108"/>
      <c r="F952" s="108"/>
    </row>
    <row r="953">
      <c r="E953" s="108"/>
      <c r="F953" s="108"/>
    </row>
    <row r="954">
      <c r="E954" s="108"/>
      <c r="F954" s="108"/>
    </row>
    <row r="955">
      <c r="E955" s="108"/>
      <c r="F955" s="108"/>
    </row>
    <row r="956">
      <c r="E956" s="108"/>
      <c r="F956" s="108"/>
    </row>
    <row r="957">
      <c r="E957" s="108"/>
      <c r="F957" s="108"/>
    </row>
    <row r="958">
      <c r="E958" s="108"/>
      <c r="F958" s="108"/>
    </row>
    <row r="959">
      <c r="E959" s="108"/>
      <c r="F959" s="108"/>
    </row>
    <row r="960">
      <c r="E960" s="108"/>
      <c r="F960" s="108"/>
    </row>
    <row r="961">
      <c r="E961" s="108"/>
      <c r="F961" s="108"/>
    </row>
    <row r="962">
      <c r="E962" s="108"/>
      <c r="F962" s="108"/>
    </row>
    <row r="963">
      <c r="E963" s="108"/>
      <c r="F963" s="108"/>
    </row>
    <row r="964">
      <c r="E964" s="108"/>
      <c r="F964" s="108"/>
    </row>
    <row r="965">
      <c r="E965" s="108"/>
      <c r="F965" s="108"/>
    </row>
    <row r="966">
      <c r="E966" s="108"/>
      <c r="F966" s="108"/>
    </row>
    <row r="967">
      <c r="E967" s="108"/>
      <c r="F967" s="108"/>
    </row>
    <row r="968">
      <c r="E968" s="108"/>
      <c r="F968" s="108"/>
    </row>
    <row r="969">
      <c r="E969" s="108"/>
      <c r="F969" s="108"/>
    </row>
    <row r="970">
      <c r="E970" s="108"/>
      <c r="F970" s="108"/>
    </row>
    <row r="971">
      <c r="E971" s="108"/>
      <c r="F971" s="108"/>
    </row>
    <row r="972">
      <c r="E972" s="108"/>
      <c r="F972" s="108"/>
    </row>
    <row r="973">
      <c r="E973" s="108"/>
      <c r="F973" s="108"/>
    </row>
    <row r="974">
      <c r="E974" s="108"/>
      <c r="F974" s="108"/>
    </row>
    <row r="975">
      <c r="E975" s="108"/>
      <c r="F975" s="108"/>
    </row>
    <row r="976">
      <c r="E976" s="108"/>
      <c r="F976" s="108"/>
    </row>
    <row r="977">
      <c r="E977" s="108"/>
      <c r="F977" s="108"/>
    </row>
    <row r="978">
      <c r="E978" s="108"/>
      <c r="F978" s="108"/>
    </row>
    <row r="979">
      <c r="E979" s="108"/>
      <c r="F979" s="108"/>
    </row>
    <row r="980">
      <c r="E980" s="108"/>
      <c r="F980" s="108"/>
    </row>
    <row r="981">
      <c r="E981" s="108"/>
      <c r="F981" s="108"/>
    </row>
    <row r="982">
      <c r="E982" s="108"/>
      <c r="F982" s="108"/>
    </row>
    <row r="983">
      <c r="E983" s="108"/>
      <c r="F983" s="108"/>
    </row>
    <row r="984">
      <c r="E984" s="108"/>
      <c r="F984" s="108"/>
    </row>
    <row r="985">
      <c r="E985" s="108"/>
      <c r="F985" s="108"/>
    </row>
    <row r="986">
      <c r="E986" s="108"/>
      <c r="F986" s="108"/>
    </row>
    <row r="987">
      <c r="E987" s="108"/>
      <c r="F987" s="108"/>
    </row>
    <row r="988">
      <c r="E988" s="108"/>
      <c r="F988" s="108"/>
    </row>
    <row r="989">
      <c r="E989" s="108"/>
      <c r="F989" s="108"/>
    </row>
    <row r="990">
      <c r="E990" s="108"/>
      <c r="F990" s="108"/>
    </row>
    <row r="991">
      <c r="E991" s="108"/>
      <c r="F991" s="108"/>
    </row>
    <row r="992">
      <c r="E992" s="108"/>
      <c r="F992" s="108"/>
    </row>
    <row r="993">
      <c r="E993" s="108"/>
      <c r="F993" s="108"/>
    </row>
    <row r="994">
      <c r="E994" s="108"/>
      <c r="F994" s="108"/>
    </row>
    <row r="995">
      <c r="E995" s="108"/>
      <c r="F995" s="108"/>
    </row>
    <row r="996">
      <c r="E996" s="108"/>
      <c r="F996" s="108"/>
    </row>
    <row r="997">
      <c r="E997" s="108"/>
      <c r="F997" s="108"/>
    </row>
    <row r="998">
      <c r="E998" s="108"/>
      <c r="F998" s="108"/>
    </row>
    <row r="999">
      <c r="E999" s="108"/>
      <c r="F999" s="108"/>
    </row>
    <row r="1000">
      <c r="E1000" s="108"/>
      <c r="F1000" s="10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s>
  <sheetData>
    <row r="1">
      <c r="A1" s="76" t="s">
        <v>33</v>
      </c>
      <c r="B1" s="77" t="s">
        <v>16</v>
      </c>
      <c r="C1" s="78" t="s">
        <v>17</v>
      </c>
      <c r="E1" s="92"/>
      <c r="F1" s="93" t="s">
        <v>34</v>
      </c>
      <c r="G1" s="94" t="s">
        <v>35</v>
      </c>
    </row>
    <row r="2">
      <c r="A2" s="82"/>
      <c r="B2" s="83"/>
      <c r="C2" s="83"/>
      <c r="E2" s="95" t="s">
        <v>24</v>
      </c>
      <c r="F2" s="96">
        <f t="shared" ref="F2:G2" si="1">AVERAGE(B:B)</f>
        <v>0.004540438598</v>
      </c>
      <c r="G2" s="97">
        <f t="shared" si="1"/>
        <v>0.002153754278</v>
      </c>
    </row>
    <row r="3">
      <c r="A3" s="87" t="s">
        <v>36</v>
      </c>
      <c r="B3" s="88">
        <v>0.006950942387381254</v>
      </c>
      <c r="C3" s="88">
        <v>0.01021935819826858</v>
      </c>
      <c r="E3" s="95" t="s">
        <v>25</v>
      </c>
      <c r="F3" s="98">
        <f t="shared" ref="F3:G3" si="2">AVEDEV(B:B)*56/55</f>
        <v>0.01599552981</v>
      </c>
      <c r="G3" s="98">
        <f t="shared" si="2"/>
        <v>0.02238000907</v>
      </c>
    </row>
    <row r="4">
      <c r="A4" s="90" t="s">
        <v>37</v>
      </c>
      <c r="B4" s="88">
        <v>0.0264818880351263</v>
      </c>
      <c r="C4" s="88">
        <v>0.06259510305713079</v>
      </c>
      <c r="E4" s="95" t="s">
        <v>26</v>
      </c>
      <c r="F4" s="98">
        <f>_xlfn.VAR.S(B:B)</f>
        <v>0.0004154218419</v>
      </c>
      <c r="G4" s="98">
        <f>_xlfn.VAR.S(C2:C53)</f>
        <v>0.0007489774982</v>
      </c>
      <c r="I4" s="51" t="s">
        <v>111</v>
      </c>
    </row>
    <row r="5">
      <c r="A5" s="90" t="s">
        <v>38</v>
      </c>
      <c r="B5" s="88">
        <v>0.03463940942646215</v>
      </c>
      <c r="C5" s="88">
        <v>-0.011891744122471182</v>
      </c>
      <c r="E5" s="95" t="s">
        <v>27</v>
      </c>
      <c r="F5" s="99">
        <f t="shared" ref="F5:G5" si="3">_xlfn.STDEV.S(B:B)</f>
        <v>0.02038189986</v>
      </c>
      <c r="G5" s="98">
        <f t="shared" si="3"/>
        <v>0.02809128189</v>
      </c>
      <c r="I5" s="51" t="s">
        <v>112</v>
      </c>
    </row>
    <row r="6">
      <c r="A6" s="90" t="s">
        <v>39</v>
      </c>
      <c r="B6" s="88">
        <v>-9.927669834066677E-4</v>
      </c>
      <c r="C6" s="88">
        <v>0.04581516689300269</v>
      </c>
      <c r="E6" s="100" t="s">
        <v>94</v>
      </c>
      <c r="F6" s="101">
        <f t="shared" ref="F6:G6" si="4">F5/F2</f>
        <v>4.488971587</v>
      </c>
      <c r="G6" s="101">
        <f t="shared" si="4"/>
        <v>13.04293725</v>
      </c>
      <c r="I6" s="51" t="s">
        <v>113</v>
      </c>
    </row>
    <row r="7">
      <c r="A7" s="90" t="s">
        <v>40</v>
      </c>
      <c r="B7" s="88">
        <v>0.02010995370370372</v>
      </c>
      <c r="C7" s="88">
        <v>-0.01631160795893971</v>
      </c>
      <c r="E7" s="100" t="s">
        <v>114</v>
      </c>
      <c r="F7" s="88">
        <f t="shared" ref="F7:G7" si="5">MIN(B:B)</f>
        <v>-0.04269384382</v>
      </c>
      <c r="G7" s="88">
        <f t="shared" si="5"/>
        <v>-0.06624810565</v>
      </c>
    </row>
    <row r="8">
      <c r="A8" s="90" t="s">
        <v>41</v>
      </c>
      <c r="B8" s="88">
        <v>-0.010734220695577501</v>
      </c>
      <c r="C8" s="88">
        <v>-0.010780358881624763</v>
      </c>
      <c r="E8" s="100" t="s">
        <v>115</v>
      </c>
      <c r="F8" s="88">
        <f t="shared" ref="F8:G8" si="6">MAX(B:B)</f>
        <v>0.07885824867</v>
      </c>
      <c r="G8" s="88">
        <f t="shared" si="6"/>
        <v>0.07049608355</v>
      </c>
    </row>
    <row r="9">
      <c r="A9" s="90" t="s">
        <v>43</v>
      </c>
      <c r="B9" s="88">
        <v>-0.002711961176134703</v>
      </c>
      <c r="C9" s="88">
        <v>-0.029562634989200864</v>
      </c>
      <c r="E9" s="100" t="s">
        <v>116</v>
      </c>
      <c r="F9" s="88">
        <f t="shared" ref="F9:G9" si="7">F7-F2/F5</f>
        <v>-0.265462017</v>
      </c>
      <c r="G9" s="88">
        <f t="shared" si="7"/>
        <v>-0.1429179524</v>
      </c>
    </row>
    <row r="10">
      <c r="A10" s="90" t="s">
        <v>44</v>
      </c>
      <c r="B10" s="88">
        <v>-0.006522972206466138</v>
      </c>
      <c r="C10" s="88">
        <v>-0.0165283770328577</v>
      </c>
      <c r="E10" s="100" t="s">
        <v>117</v>
      </c>
      <c r="F10" s="88">
        <f t="shared" ref="F10:G10" si="8">F8-F2/F5</f>
        <v>-0.1439099245</v>
      </c>
      <c r="G10" s="88">
        <f t="shared" si="8"/>
        <v>-0.006173763209</v>
      </c>
    </row>
    <row r="11">
      <c r="A11" s="90" t="s">
        <v>46</v>
      </c>
      <c r="B11" s="88"/>
      <c r="C11" s="88"/>
    </row>
    <row r="12">
      <c r="A12" s="90" t="s">
        <v>47</v>
      </c>
      <c r="B12" s="88"/>
      <c r="C12" s="88"/>
    </row>
    <row r="13">
      <c r="A13" s="90" t="s">
        <v>49</v>
      </c>
      <c r="B13" s="88">
        <v>-0.04269384382316477</v>
      </c>
      <c r="C13" s="88">
        <v>-0.02498302783435169</v>
      </c>
    </row>
    <row r="14">
      <c r="A14" s="90" t="s">
        <v>50</v>
      </c>
      <c r="B14" s="88">
        <v>0.0023467697404748744</v>
      </c>
      <c r="C14" s="88">
        <v>0.016492995652473974</v>
      </c>
    </row>
    <row r="15">
      <c r="A15" s="90" t="s">
        <v>51</v>
      </c>
      <c r="B15" s="88">
        <v>0.025191055759977266</v>
      </c>
      <c r="C15" s="88">
        <v>0.003253946275270092</v>
      </c>
    </row>
    <row r="16">
      <c r="A16" s="90" t="s">
        <v>52</v>
      </c>
      <c r="B16" s="88">
        <v>0.008564087924636032</v>
      </c>
      <c r="C16" s="88">
        <v>0.020272656636292963</v>
      </c>
    </row>
    <row r="17">
      <c r="A17" s="90" t="s">
        <v>53</v>
      </c>
      <c r="B17" s="88">
        <v>0.0239695995323006</v>
      </c>
      <c r="C17" s="88">
        <v>-0.021428077694062297</v>
      </c>
    </row>
    <row r="18">
      <c r="A18" s="90" t="s">
        <v>54</v>
      </c>
      <c r="B18" s="88">
        <v>-0.011557353366079104</v>
      </c>
      <c r="C18" s="88">
        <v>-0.03604744136460569</v>
      </c>
    </row>
    <row r="19">
      <c r="A19" s="90" t="s">
        <v>55</v>
      </c>
      <c r="B19" s="88">
        <v>0.018540317834019993</v>
      </c>
      <c r="C19" s="88">
        <v>-0.014058599395611493</v>
      </c>
    </row>
    <row r="20">
      <c r="A20" s="90" t="s">
        <v>56</v>
      </c>
      <c r="B20" s="88">
        <v>0.02088027640078116</v>
      </c>
      <c r="C20" s="88">
        <v>0.024153939312386408</v>
      </c>
    </row>
    <row r="21">
      <c r="A21" s="90" t="s">
        <v>57</v>
      </c>
      <c r="B21" s="88">
        <v>0.005741048496751722</v>
      </c>
      <c r="C21" s="88">
        <v>0.057112375533428184</v>
      </c>
    </row>
    <row r="22">
      <c r="A22" s="90" t="s">
        <v>58</v>
      </c>
      <c r="B22" s="88">
        <v>0.015028369881920023</v>
      </c>
      <c r="C22" s="88">
        <v>0.01092896174863367</v>
      </c>
    </row>
    <row r="23">
      <c r="A23" s="90" t="s">
        <v>59</v>
      </c>
      <c r="B23" s="88"/>
      <c r="C23" s="88">
        <v>-0.009331148942232192</v>
      </c>
    </row>
    <row r="24">
      <c r="A24" s="90" t="s">
        <v>60</v>
      </c>
      <c r="B24" s="88"/>
      <c r="C24" s="88">
        <v>-0.012311805262417375</v>
      </c>
    </row>
    <row r="25">
      <c r="A25" s="90" t="s">
        <v>61</v>
      </c>
      <c r="B25" s="88">
        <v>-0.008782556026650679</v>
      </c>
      <c r="C25" s="88"/>
    </row>
    <row r="26">
      <c r="A26" s="90" t="s">
        <v>62</v>
      </c>
      <c r="B26" s="88">
        <v>-0.013886814991787233</v>
      </c>
      <c r="C26" s="88"/>
    </row>
    <row r="27">
      <c r="A27" s="90" t="s">
        <v>63</v>
      </c>
      <c r="B27" s="88">
        <v>-0.015002206206795043</v>
      </c>
      <c r="C27" s="88">
        <v>-0.015159829880642128</v>
      </c>
    </row>
    <row r="28">
      <c r="A28" s="90" t="s">
        <v>64</v>
      </c>
      <c r="B28" s="88">
        <v>-0.016206048328751277</v>
      </c>
      <c r="C28" s="88">
        <v>-0.006609880749574137</v>
      </c>
    </row>
    <row r="29">
      <c r="A29" s="90" t="s">
        <v>65</v>
      </c>
      <c r="B29" s="88">
        <v>0.003047895500725595</v>
      </c>
      <c r="C29" s="88">
        <v>-0.005084745762711895</v>
      </c>
    </row>
    <row r="30">
      <c r="A30" s="90" t="s">
        <v>66</v>
      </c>
      <c r="B30" s="88">
        <v>-0.006058857472590717</v>
      </c>
      <c r="C30" s="88">
        <v>0.035741872059546376</v>
      </c>
    </row>
    <row r="31">
      <c r="A31" s="90" t="s">
        <v>67</v>
      </c>
      <c r="B31" s="88">
        <v>0.02151488358384901</v>
      </c>
      <c r="C31" s="88">
        <v>0.04260926861410064</v>
      </c>
    </row>
    <row r="32">
      <c r="A32" s="90" t="s">
        <v>68</v>
      </c>
      <c r="B32" s="88">
        <v>-0.004401408450704136</v>
      </c>
      <c r="C32" s="88">
        <v>-0.029073073642308822</v>
      </c>
    </row>
    <row r="33">
      <c r="A33" s="90" t="s">
        <v>69</v>
      </c>
      <c r="B33" s="88">
        <v>-0.009734127560656725</v>
      </c>
      <c r="C33" s="88">
        <v>0.0014236902050115408</v>
      </c>
    </row>
    <row r="34">
      <c r="A34" s="90" t="s">
        <v>70</v>
      </c>
      <c r="B34" s="88">
        <v>-2.904865649963062E-4</v>
      </c>
      <c r="C34" s="88">
        <v>0.05902751601960032</v>
      </c>
    </row>
    <row r="35">
      <c r="A35" s="90" t="s">
        <v>71</v>
      </c>
      <c r="B35" s="88">
        <v>-0.020765182762053858</v>
      </c>
      <c r="C35" s="88">
        <v>-9.038186337275711E-4</v>
      </c>
    </row>
    <row r="36">
      <c r="A36" s="90" t="s">
        <v>72</v>
      </c>
      <c r="B36" s="88">
        <v>0.014427932477276029</v>
      </c>
      <c r="C36" s="88">
        <v>0.03314917127071837</v>
      </c>
    </row>
    <row r="37">
      <c r="A37" s="90" t="s">
        <v>73</v>
      </c>
      <c r="B37" s="88">
        <v>0.02166863207547176</v>
      </c>
      <c r="C37" s="88">
        <v>0.015247274450939985</v>
      </c>
    </row>
    <row r="38">
      <c r="A38" s="90" t="s">
        <v>74</v>
      </c>
      <c r="B38" s="88"/>
      <c r="C38" s="88">
        <v>-0.013636717836827073</v>
      </c>
    </row>
    <row r="39">
      <c r="A39" s="90" t="s">
        <v>75</v>
      </c>
      <c r="B39" s="88"/>
      <c r="C39" s="88"/>
    </row>
    <row r="40">
      <c r="A40" s="90" t="s">
        <v>76</v>
      </c>
      <c r="B40" s="88">
        <v>-0.004726439415640216</v>
      </c>
      <c r="C40" s="88"/>
    </row>
    <row r="41">
      <c r="A41" s="90" t="s">
        <v>77</v>
      </c>
      <c r="B41" s="88">
        <v>-0.01034727143869607</v>
      </c>
      <c r="C41" s="88">
        <v>-0.010821831869510579</v>
      </c>
    </row>
    <row r="42">
      <c r="A42" s="90" t="s">
        <v>78</v>
      </c>
      <c r="B42" s="88">
        <v>0.0045564573544067954</v>
      </c>
      <c r="C42" s="88">
        <v>0.016338566988124636</v>
      </c>
    </row>
    <row r="43">
      <c r="A43" s="90" t="s">
        <v>79</v>
      </c>
      <c r="B43" s="88">
        <v>-0.0031227821149751867</v>
      </c>
      <c r="C43" s="88">
        <v>-0.019995313598375364</v>
      </c>
    </row>
    <row r="44">
      <c r="A44" s="90" t="s">
        <v>80</v>
      </c>
      <c r="B44" s="88">
        <v>0.021014492753623326</v>
      </c>
      <c r="C44" s="88">
        <v>0.011774932827564255</v>
      </c>
    </row>
    <row r="45">
      <c r="A45" s="90" t="s">
        <v>81</v>
      </c>
      <c r="B45" s="88">
        <v>-0.015832263585793704</v>
      </c>
      <c r="C45" s="88">
        <v>-0.024739884393063516</v>
      </c>
    </row>
    <row r="46">
      <c r="A46" s="90" t="s">
        <v>82</v>
      </c>
      <c r="B46" s="88">
        <v>-0.0035531552018192025</v>
      </c>
      <c r="C46" s="88">
        <v>0.002782286111755239</v>
      </c>
    </row>
    <row r="47">
      <c r="A47" s="90" t="s">
        <v>83</v>
      </c>
      <c r="B47" s="88">
        <v>-0.014979700405991947</v>
      </c>
      <c r="C47" s="88">
        <v>-0.06624810565057382</v>
      </c>
    </row>
    <row r="48">
      <c r="A48" s="90" t="s">
        <v>84</v>
      </c>
      <c r="B48" s="88">
        <v>0.02203462584060678</v>
      </c>
      <c r="C48" s="88">
        <v>-0.010991363928342213</v>
      </c>
    </row>
    <row r="49">
      <c r="A49" s="90" t="s">
        <v>85</v>
      </c>
      <c r="B49" s="88">
        <v>0.021335671489112862</v>
      </c>
      <c r="C49" s="88">
        <v>-0.01483616931514542</v>
      </c>
    </row>
    <row r="50">
      <c r="A50" s="90" t="s">
        <v>86</v>
      </c>
      <c r="B50" s="88">
        <v>-0.006244554167876726</v>
      </c>
      <c r="C50" s="88">
        <v>-0.017817679558011168</v>
      </c>
    </row>
    <row r="51">
      <c r="A51" s="90" t="s">
        <v>87</v>
      </c>
      <c r="B51" s="88">
        <v>0.02485488912040479</v>
      </c>
      <c r="C51" s="88">
        <v>0.02622253720765433</v>
      </c>
    </row>
    <row r="52">
      <c r="A52" s="90" t="s">
        <v>88</v>
      </c>
      <c r="B52" s="88"/>
      <c r="C52" s="88">
        <v>-0.02109060635493265</v>
      </c>
    </row>
    <row r="53">
      <c r="A53" s="90" t="s">
        <v>89</v>
      </c>
      <c r="B53" s="88"/>
      <c r="C53" s="88"/>
    </row>
    <row r="54">
      <c r="A54" s="90" t="s">
        <v>90</v>
      </c>
      <c r="B54" s="88">
        <v>-0.031709426347650504</v>
      </c>
      <c r="C54" s="88"/>
    </row>
    <row r="55">
      <c r="A55" s="90" t="s">
        <v>91</v>
      </c>
      <c r="B55" s="88">
        <v>0.00303599826514378</v>
      </c>
      <c r="C55" s="88">
        <v>0.006369858372297976</v>
      </c>
    </row>
    <row r="56">
      <c r="A56" s="90" t="s">
        <v>92</v>
      </c>
      <c r="B56" s="88">
        <v>-0.002019910546818604</v>
      </c>
      <c r="C56" s="88">
        <v>-2.032520325203624E-4</v>
      </c>
    </row>
    <row r="57">
      <c r="A57" s="90" t="s">
        <v>93</v>
      </c>
      <c r="B57" s="88">
        <v>0.03602391629297452</v>
      </c>
      <c r="C57" s="88">
        <v>0.07049608355091386</v>
      </c>
    </row>
    <row r="58">
      <c r="A58" s="90">
        <v>56.0</v>
      </c>
      <c r="B58" s="88">
        <v>0.07885824866956948</v>
      </c>
      <c r="C58" s="88">
        <v>-0.008200258955546103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 t="s">
        <v>33</v>
      </c>
      <c r="B1" s="77" t="s">
        <v>16</v>
      </c>
      <c r="C1" s="78" t="s">
        <v>17</v>
      </c>
      <c r="D1" s="100" t="s">
        <v>118</v>
      </c>
      <c r="E1" s="100" t="s">
        <v>119</v>
      </c>
      <c r="F1" s="100" t="s">
        <v>120</v>
      </c>
      <c r="H1" s="111"/>
      <c r="I1" s="112" t="s">
        <v>34</v>
      </c>
      <c r="J1" s="113" t="s">
        <v>35</v>
      </c>
    </row>
    <row r="2">
      <c r="A2" s="82"/>
      <c r="B2" s="83"/>
      <c r="C2" s="83"/>
      <c r="D2" s="83"/>
      <c r="E2" s="83"/>
      <c r="F2" s="83"/>
      <c r="H2" s="114" t="s">
        <v>121</v>
      </c>
      <c r="I2" s="115">
        <f>_xlfn.COVARIANCE.S(B2:B41,C2:C41)</f>
        <v>0.000158730291</v>
      </c>
      <c r="J2" s="116"/>
    </row>
    <row r="3">
      <c r="A3" s="87" t="s">
        <v>36</v>
      </c>
      <c r="B3" s="88">
        <v>0.006950942387381254</v>
      </c>
      <c r="C3" s="88">
        <v>0.01021935819826858</v>
      </c>
      <c r="D3" s="88">
        <f t="shared" ref="D3:E3" si="1">B3-AVERAGE(B:B)</f>
        <v>0.002410503789</v>
      </c>
      <c r="E3" s="88">
        <f t="shared" si="1"/>
        <v>0.00806560392</v>
      </c>
      <c r="F3" s="117">
        <f t="shared" ref="F3:F58" si="3">D3*E3</f>
        <v>0.00001944216881</v>
      </c>
      <c r="H3" s="114" t="s">
        <v>122</v>
      </c>
      <c r="I3" s="114">
        <f>CORREL(B2:B41,C2:C41)</f>
        <v>0.3249568013</v>
      </c>
      <c r="J3" s="116"/>
    </row>
    <row r="4">
      <c r="A4" s="90" t="s">
        <v>37</v>
      </c>
      <c r="B4" s="88">
        <v>0.0264818880351263</v>
      </c>
      <c r="C4" s="88">
        <v>0.06259510305713079</v>
      </c>
      <c r="D4" s="88">
        <f t="shared" ref="D4:E4" si="2">B4-AVERAGE(B:B)</f>
        <v>0.02194144944</v>
      </c>
      <c r="E4" s="88">
        <f t="shared" si="2"/>
        <v>0.06044134878</v>
      </c>
      <c r="F4" s="117">
        <f t="shared" si="3"/>
        <v>0.001326170798</v>
      </c>
      <c r="H4" s="116"/>
      <c r="I4" s="116"/>
      <c r="J4" s="116"/>
    </row>
    <row r="5">
      <c r="A5" s="90" t="s">
        <v>38</v>
      </c>
      <c r="B5" s="88">
        <v>0.03463940942646215</v>
      </c>
      <c r="C5" s="88">
        <v>-0.011891744122471182</v>
      </c>
      <c r="D5" s="88">
        <f t="shared" ref="D5:E5" si="4">B5-AVERAGE(B:B)</f>
        <v>0.03009897083</v>
      </c>
      <c r="E5" s="88">
        <f t="shared" si="4"/>
        <v>-0.0140454984</v>
      </c>
      <c r="F5" s="117">
        <f t="shared" si="3"/>
        <v>-0.0004227550466</v>
      </c>
      <c r="H5" s="114" t="s">
        <v>123</v>
      </c>
      <c r="I5" s="114">
        <f>SUM(F:F/56-1)</f>
        <v>-1.000007549</v>
      </c>
      <c r="J5" s="114"/>
    </row>
    <row r="6">
      <c r="A6" s="90" t="s">
        <v>39</v>
      </c>
      <c r="B6" s="88">
        <v>-9.927669834066677E-4</v>
      </c>
      <c r="C6" s="88">
        <v>0.04581516689300269</v>
      </c>
      <c r="D6" s="88">
        <f t="shared" ref="D6:E6" si="5">B6-AVERAGE(B:B)</f>
        <v>-0.005533205581</v>
      </c>
      <c r="E6" s="88">
        <f t="shared" si="5"/>
        <v>0.04366141261</v>
      </c>
      <c r="F6" s="117">
        <f t="shared" si="3"/>
        <v>-0.000241587572</v>
      </c>
      <c r="H6" s="114" t="s">
        <v>124</v>
      </c>
      <c r="I6" s="114">
        <f t="shared" ref="I6:J6" si="6">STDEV(B:B)</f>
        <v>0.02038189986</v>
      </c>
      <c r="J6" s="114">
        <f t="shared" si="6"/>
        <v>0.02809128189</v>
      </c>
    </row>
    <row r="7">
      <c r="A7" s="90" t="s">
        <v>40</v>
      </c>
      <c r="B7" s="88">
        <v>0.02010995370370372</v>
      </c>
      <c r="C7" s="88">
        <v>-0.01631160795893971</v>
      </c>
      <c r="D7" s="88">
        <f t="shared" ref="D7:E7" si="7">B7-AVERAGE(B:B)</f>
        <v>0.01556951511</v>
      </c>
      <c r="E7" s="88">
        <f t="shared" si="7"/>
        <v>-0.01846536224</v>
      </c>
      <c r="F7" s="117">
        <f t="shared" si="3"/>
        <v>-0.0002874967363</v>
      </c>
    </row>
    <row r="8">
      <c r="A8" s="90" t="s">
        <v>41</v>
      </c>
      <c r="B8" s="88">
        <v>-0.010734220695577501</v>
      </c>
      <c r="C8" s="88">
        <v>-0.010780358881624763</v>
      </c>
      <c r="D8" s="88">
        <f t="shared" ref="D8:E8" si="8">B8-AVERAGE(B:B)</f>
        <v>-0.01527465929</v>
      </c>
      <c r="E8" s="88">
        <f t="shared" si="8"/>
        <v>-0.01293411316</v>
      </c>
      <c r="F8" s="117">
        <f t="shared" si="3"/>
        <v>0.0001975641718</v>
      </c>
    </row>
    <row r="9">
      <c r="A9" s="90" t="s">
        <v>43</v>
      </c>
      <c r="B9" s="88">
        <v>-0.002711961176134703</v>
      </c>
      <c r="C9" s="88">
        <v>-0.029562634989200864</v>
      </c>
      <c r="D9" s="88">
        <f t="shared" ref="D9:E9" si="9">B9-AVERAGE(B:B)</f>
        <v>-0.007252399774</v>
      </c>
      <c r="E9" s="88">
        <f t="shared" si="9"/>
        <v>-0.03171638927</v>
      </c>
      <c r="F9" s="117">
        <f t="shared" si="3"/>
        <v>0.0002300199344</v>
      </c>
    </row>
    <row r="10">
      <c r="A10" s="90" t="s">
        <v>44</v>
      </c>
      <c r="B10" s="88">
        <v>-0.006522972206466138</v>
      </c>
      <c r="C10" s="88">
        <v>-0.0165283770328577</v>
      </c>
      <c r="D10" s="88">
        <f t="shared" ref="D10:E10" si="10">B10-AVERAGE(B:B)</f>
        <v>-0.0110634108</v>
      </c>
      <c r="E10" s="88">
        <f t="shared" si="10"/>
        <v>-0.01868213131</v>
      </c>
      <c r="F10" s="117">
        <f t="shared" si="3"/>
        <v>0.0002066880934</v>
      </c>
    </row>
    <row r="11">
      <c r="A11" s="90" t="s">
        <v>46</v>
      </c>
      <c r="B11" s="88"/>
      <c r="C11" s="88"/>
      <c r="D11" s="88">
        <f t="shared" ref="D11:E11" si="11">B11-AVERAGE(B:B)</f>
        <v>-0.004540438598</v>
      </c>
      <c r="E11" s="88">
        <f t="shared" si="11"/>
        <v>-0.002153754278</v>
      </c>
      <c r="F11" s="117">
        <f t="shared" si="3"/>
        <v>0.000009778989055</v>
      </c>
    </row>
    <row r="12">
      <c r="A12" s="90" t="s">
        <v>47</v>
      </c>
      <c r="B12" s="88"/>
      <c r="C12" s="88"/>
      <c r="D12" s="88">
        <f t="shared" ref="D12:E12" si="12">B12-AVERAGE(B:B)</f>
        <v>-0.004540438598</v>
      </c>
      <c r="E12" s="88">
        <f t="shared" si="12"/>
        <v>-0.002153754278</v>
      </c>
      <c r="F12" s="117">
        <f t="shared" si="3"/>
        <v>0.000009778989055</v>
      </c>
    </row>
    <row r="13">
      <c r="A13" s="90" t="s">
        <v>49</v>
      </c>
      <c r="B13" s="88">
        <v>-0.04269384382316477</v>
      </c>
      <c r="C13" s="88">
        <v>-0.02498302783435169</v>
      </c>
      <c r="D13" s="88">
        <f t="shared" ref="D13:E13" si="13">B13-AVERAGE(B:B)</f>
        <v>-0.04723428242</v>
      </c>
      <c r="E13" s="88">
        <f t="shared" si="13"/>
        <v>-0.02713678211</v>
      </c>
      <c r="F13" s="117">
        <f t="shared" si="3"/>
        <v>0.00128178643</v>
      </c>
    </row>
    <row r="14">
      <c r="A14" s="90" t="s">
        <v>50</v>
      </c>
      <c r="B14" s="88">
        <v>0.0023467697404748744</v>
      </c>
      <c r="C14" s="88">
        <v>0.016492995652473974</v>
      </c>
      <c r="D14" s="88">
        <f t="shared" ref="D14:E14" si="14">B14-AVERAGE(B:B)</f>
        <v>-0.002193668858</v>
      </c>
      <c r="E14" s="88">
        <f t="shared" si="14"/>
        <v>0.01433924137</v>
      </c>
      <c r="F14" s="117">
        <f t="shared" si="3"/>
        <v>-0.00003145554724</v>
      </c>
    </row>
    <row r="15">
      <c r="A15" s="90" t="s">
        <v>51</v>
      </c>
      <c r="B15" s="88">
        <v>0.025191055759977266</v>
      </c>
      <c r="C15" s="88">
        <v>0.003253946275270092</v>
      </c>
      <c r="D15" s="88">
        <f t="shared" ref="D15:E15" si="15">B15-AVERAGE(B:B)</f>
        <v>0.02065061716</v>
      </c>
      <c r="E15" s="88">
        <f t="shared" si="15"/>
        <v>0.001100191997</v>
      </c>
      <c r="F15" s="117">
        <f t="shared" si="3"/>
        <v>0.00002271964374</v>
      </c>
    </row>
    <row r="16">
      <c r="A16" s="90" t="s">
        <v>52</v>
      </c>
      <c r="B16" s="88">
        <v>0.008564087924636032</v>
      </c>
      <c r="C16" s="88">
        <v>0.020272656636292963</v>
      </c>
      <c r="D16" s="88">
        <f t="shared" ref="D16:E16" si="16">B16-AVERAGE(B:B)</f>
        <v>0.004023649327</v>
      </c>
      <c r="E16" s="88">
        <f t="shared" si="16"/>
        <v>0.01811890236</v>
      </c>
      <c r="F16" s="117">
        <f t="shared" si="3"/>
        <v>0.00007290410927</v>
      </c>
    </row>
    <row r="17">
      <c r="A17" s="90" t="s">
        <v>53</v>
      </c>
      <c r="B17" s="88">
        <v>0.0239695995323006</v>
      </c>
      <c r="C17" s="88">
        <v>-0.021428077694062297</v>
      </c>
      <c r="D17" s="88">
        <f t="shared" ref="D17:E17" si="17">B17-AVERAGE(B:B)</f>
        <v>0.01942916093</v>
      </c>
      <c r="E17" s="88">
        <f t="shared" si="17"/>
        <v>-0.02358183197</v>
      </c>
      <c r="F17" s="117">
        <f t="shared" si="3"/>
        <v>-0.0004581752085</v>
      </c>
    </row>
    <row r="18">
      <c r="A18" s="90" t="s">
        <v>54</v>
      </c>
      <c r="B18" s="88">
        <v>-0.011557353366079104</v>
      </c>
      <c r="C18" s="88">
        <v>-0.03604744136460569</v>
      </c>
      <c r="D18" s="88">
        <f t="shared" ref="D18:E18" si="18">B18-AVERAGE(B:B)</f>
        <v>-0.01609779196</v>
      </c>
      <c r="E18" s="88">
        <f t="shared" si="18"/>
        <v>-0.03820119564</v>
      </c>
      <c r="F18" s="117">
        <f t="shared" si="3"/>
        <v>0.0006149549002</v>
      </c>
    </row>
    <row r="19">
      <c r="A19" s="90" t="s">
        <v>55</v>
      </c>
      <c r="B19" s="88">
        <v>0.018540317834019993</v>
      </c>
      <c r="C19" s="88">
        <v>-0.014058599395611493</v>
      </c>
      <c r="D19" s="88">
        <f t="shared" ref="D19:E19" si="19">B19-AVERAGE(B:B)</f>
        <v>0.01399987924</v>
      </c>
      <c r="E19" s="88">
        <f t="shared" si="19"/>
        <v>-0.01621235367</v>
      </c>
      <c r="F19" s="117">
        <f t="shared" si="3"/>
        <v>-0.0002269709936</v>
      </c>
    </row>
    <row r="20">
      <c r="A20" s="90" t="s">
        <v>56</v>
      </c>
      <c r="B20" s="88">
        <v>0.02088027640078116</v>
      </c>
      <c r="C20" s="88">
        <v>0.024153939312386408</v>
      </c>
      <c r="D20" s="88">
        <f t="shared" ref="D20:E20" si="20">B20-AVERAGE(B:B)</f>
        <v>0.0163398378</v>
      </c>
      <c r="E20" s="88">
        <f t="shared" si="20"/>
        <v>0.02200018503</v>
      </c>
      <c r="F20" s="117">
        <f t="shared" si="3"/>
        <v>0.0003594794551</v>
      </c>
    </row>
    <row r="21">
      <c r="A21" s="90" t="s">
        <v>57</v>
      </c>
      <c r="B21" s="88">
        <v>0.005741048496751722</v>
      </c>
      <c r="C21" s="88">
        <v>0.057112375533428184</v>
      </c>
      <c r="D21" s="88">
        <f t="shared" ref="D21:E21" si="21">B21-AVERAGE(B:B)</f>
        <v>0.001200609899</v>
      </c>
      <c r="E21" s="88">
        <f t="shared" si="21"/>
        <v>0.05495862126</v>
      </c>
      <c r="F21" s="117">
        <f t="shared" si="3"/>
        <v>0.0000659838647</v>
      </c>
    </row>
    <row r="22">
      <c r="A22" s="90" t="s">
        <v>58</v>
      </c>
      <c r="B22" s="88">
        <v>0.015028369881920023</v>
      </c>
      <c r="C22" s="88">
        <v>0.01092896174863367</v>
      </c>
      <c r="D22" s="88">
        <f t="shared" ref="D22:E22" si="22">B22-AVERAGE(B:B)</f>
        <v>0.01048793128</v>
      </c>
      <c r="E22" s="88">
        <f t="shared" si="22"/>
        <v>0.008775207471</v>
      </c>
      <c r="F22" s="117">
        <f t="shared" si="3"/>
        <v>0.00009203377295</v>
      </c>
    </row>
    <row r="23">
      <c r="A23" s="90" t="s">
        <v>59</v>
      </c>
      <c r="B23" s="88"/>
      <c r="C23" s="88">
        <v>-0.009331148942232192</v>
      </c>
      <c r="D23" s="88">
        <f t="shared" ref="D23:E23" si="23">B23-AVERAGE(B:B)</f>
        <v>-0.004540438598</v>
      </c>
      <c r="E23" s="88">
        <f t="shared" si="23"/>
        <v>-0.01148490322</v>
      </c>
      <c r="F23" s="117">
        <f t="shared" si="3"/>
        <v>0.00005214649788</v>
      </c>
    </row>
    <row r="24">
      <c r="A24" s="90" t="s">
        <v>60</v>
      </c>
      <c r="B24" s="88"/>
      <c r="C24" s="88">
        <v>-0.012311805262417375</v>
      </c>
      <c r="D24" s="88">
        <f t="shared" ref="D24:E24" si="24">B24-AVERAGE(B:B)</f>
        <v>-0.004540438598</v>
      </c>
      <c r="E24" s="88">
        <f t="shared" si="24"/>
        <v>-0.01446555954</v>
      </c>
      <c r="F24" s="117">
        <f t="shared" si="3"/>
        <v>0.00006567998488</v>
      </c>
    </row>
    <row r="25">
      <c r="A25" s="90" t="s">
        <v>61</v>
      </c>
      <c r="B25" s="88">
        <v>-0.008782556026650679</v>
      </c>
      <c r="C25" s="88"/>
      <c r="D25" s="88">
        <f t="shared" ref="D25:E25" si="25">B25-AVERAGE(B:B)</f>
        <v>-0.01332299462</v>
      </c>
      <c r="E25" s="88">
        <f t="shared" si="25"/>
        <v>-0.002153754278</v>
      </c>
      <c r="F25" s="117">
        <f t="shared" si="3"/>
        <v>0.00002869445667</v>
      </c>
    </row>
    <row r="26">
      <c r="A26" s="90" t="s">
        <v>62</v>
      </c>
      <c r="B26" s="88">
        <v>-0.013886814991787233</v>
      </c>
      <c r="C26" s="88"/>
      <c r="D26" s="88">
        <f t="shared" ref="D26:E26" si="26">B26-AVERAGE(B:B)</f>
        <v>-0.01842725359</v>
      </c>
      <c r="E26" s="88">
        <f t="shared" si="26"/>
        <v>-0.002153754278</v>
      </c>
      <c r="F26" s="117">
        <f t="shared" si="3"/>
        <v>0.00003968777625</v>
      </c>
    </row>
    <row r="27">
      <c r="A27" s="90" t="s">
        <v>63</v>
      </c>
      <c r="B27" s="88">
        <v>-0.015002206206795043</v>
      </c>
      <c r="C27" s="88">
        <v>-0.015159829880642128</v>
      </c>
      <c r="D27" s="88">
        <f t="shared" ref="D27:E27" si="27">B27-AVERAGE(B:B)</f>
        <v>-0.0195426448</v>
      </c>
      <c r="E27" s="88">
        <f t="shared" si="27"/>
        <v>-0.01731358416</v>
      </c>
      <c r="F27" s="117">
        <f t="shared" si="3"/>
        <v>0.0003383532255</v>
      </c>
    </row>
    <row r="28">
      <c r="A28" s="90" t="s">
        <v>64</v>
      </c>
      <c r="B28" s="88">
        <v>-0.016206048328751277</v>
      </c>
      <c r="C28" s="88">
        <v>-0.006609880749574137</v>
      </c>
      <c r="D28" s="88">
        <f t="shared" ref="D28:E28" si="28">B28-AVERAGE(B:B)</f>
        <v>-0.02074648693</v>
      </c>
      <c r="E28" s="88">
        <f t="shared" si="28"/>
        <v>-0.008763635028</v>
      </c>
      <c r="F28" s="117">
        <f t="shared" si="3"/>
        <v>0.0001818146395</v>
      </c>
    </row>
    <row r="29">
      <c r="A29" s="90" t="s">
        <v>65</v>
      </c>
      <c r="B29" s="88">
        <v>0.003047895500725595</v>
      </c>
      <c r="C29" s="88">
        <v>-0.005084745762711895</v>
      </c>
      <c r="D29" s="88">
        <f t="shared" ref="D29:E29" si="29">B29-AVERAGE(B:B)</f>
        <v>-0.001492543097</v>
      </c>
      <c r="E29" s="88">
        <f t="shared" si="29"/>
        <v>-0.007238500041</v>
      </c>
      <c r="F29" s="117">
        <f t="shared" si="3"/>
        <v>0.00001080377327</v>
      </c>
    </row>
    <row r="30">
      <c r="A30" s="90" t="s">
        <v>66</v>
      </c>
      <c r="B30" s="88">
        <v>-0.006058857472590717</v>
      </c>
      <c r="C30" s="88">
        <v>0.035741872059546376</v>
      </c>
      <c r="D30" s="88">
        <f t="shared" ref="D30:E30" si="30">B30-AVERAGE(B:B)</f>
        <v>-0.01059929607</v>
      </c>
      <c r="E30" s="88">
        <f t="shared" si="30"/>
        <v>0.03358811778</v>
      </c>
      <c r="F30" s="117">
        <f t="shared" si="3"/>
        <v>-0.0003560104048</v>
      </c>
    </row>
    <row r="31">
      <c r="A31" s="90" t="s">
        <v>67</v>
      </c>
      <c r="B31" s="88">
        <v>0.02151488358384901</v>
      </c>
      <c r="C31" s="88">
        <v>0.04260926861410064</v>
      </c>
      <c r="D31" s="88">
        <f t="shared" ref="D31:E31" si="31">B31-AVERAGE(B:B)</f>
        <v>0.01697444499</v>
      </c>
      <c r="E31" s="88">
        <f t="shared" si="31"/>
        <v>0.04045551434</v>
      </c>
      <c r="F31" s="117">
        <f t="shared" si="3"/>
        <v>0.0006867099025</v>
      </c>
    </row>
    <row r="32">
      <c r="A32" s="90" t="s">
        <v>68</v>
      </c>
      <c r="B32" s="88">
        <v>-0.004401408450704136</v>
      </c>
      <c r="C32" s="88">
        <v>-0.029073073642308822</v>
      </c>
      <c r="D32" s="88">
        <f t="shared" ref="D32:E32" si="32">B32-AVERAGE(B:B)</f>
        <v>-0.008941847049</v>
      </c>
      <c r="E32" s="88">
        <f t="shared" si="32"/>
        <v>-0.03122682792</v>
      </c>
      <c r="F32" s="117">
        <f t="shared" si="3"/>
        <v>0.0002792255191</v>
      </c>
    </row>
    <row r="33">
      <c r="A33" s="90" t="s">
        <v>69</v>
      </c>
      <c r="B33" s="88">
        <v>-0.009734127560656725</v>
      </c>
      <c r="C33" s="88">
        <v>0.0014236902050115408</v>
      </c>
      <c r="D33" s="88">
        <f t="shared" ref="D33:E33" si="33">B33-AVERAGE(B:B)</f>
        <v>-0.01427456616</v>
      </c>
      <c r="E33" s="88">
        <f t="shared" si="33"/>
        <v>-0.000730064073</v>
      </c>
      <c r="F33" s="117">
        <f t="shared" si="3"/>
        <v>0.00001042134791</v>
      </c>
    </row>
    <row r="34">
      <c r="A34" s="90" t="s">
        <v>70</v>
      </c>
      <c r="B34" s="88">
        <v>-2.904865649963062E-4</v>
      </c>
      <c r="C34" s="88">
        <v>0.05902751601960032</v>
      </c>
      <c r="D34" s="88">
        <f t="shared" ref="D34:E34" si="34">B34-AVERAGE(B:B)</f>
        <v>-0.004830925163</v>
      </c>
      <c r="E34" s="88">
        <f t="shared" si="34"/>
        <v>0.05687376174</v>
      </c>
      <c r="F34" s="117">
        <f t="shared" si="3"/>
        <v>-0.0002747528867</v>
      </c>
    </row>
    <row r="35">
      <c r="A35" s="90" t="s">
        <v>71</v>
      </c>
      <c r="B35" s="88">
        <v>-0.020765182762053858</v>
      </c>
      <c r="C35" s="88">
        <v>-9.038186337275711E-4</v>
      </c>
      <c r="D35" s="88">
        <f t="shared" ref="D35:E35" si="35">B35-AVERAGE(B:B)</f>
        <v>-0.02530562136</v>
      </c>
      <c r="E35" s="88">
        <f t="shared" si="35"/>
        <v>-0.003057572912</v>
      </c>
      <c r="F35" s="117">
        <f t="shared" si="3"/>
        <v>0.00007737378239</v>
      </c>
    </row>
    <row r="36">
      <c r="A36" s="90" t="s">
        <v>72</v>
      </c>
      <c r="B36" s="88">
        <v>0.014427932477276029</v>
      </c>
      <c r="C36" s="88">
        <v>0.03314917127071837</v>
      </c>
      <c r="D36" s="88">
        <f t="shared" ref="D36:E36" si="36">B36-AVERAGE(B:B)</f>
        <v>0.009887493879</v>
      </c>
      <c r="E36" s="88">
        <f t="shared" si="36"/>
        <v>0.03099541699</v>
      </c>
      <c r="F36" s="117">
        <f t="shared" si="3"/>
        <v>0.0003064669958</v>
      </c>
    </row>
    <row r="37">
      <c r="A37" s="90" t="s">
        <v>73</v>
      </c>
      <c r="B37" s="88">
        <v>0.02166863207547176</v>
      </c>
      <c r="C37" s="88">
        <v>0.015247274450939985</v>
      </c>
      <c r="D37" s="88">
        <f t="shared" ref="D37:E37" si="37">B37-AVERAGE(B:B)</f>
        <v>0.01712819348</v>
      </c>
      <c r="E37" s="88">
        <f t="shared" si="37"/>
        <v>0.01309352017</v>
      </c>
      <c r="F37" s="117">
        <f t="shared" si="3"/>
        <v>0.0002242683468</v>
      </c>
    </row>
    <row r="38">
      <c r="A38" s="90" t="s">
        <v>74</v>
      </c>
      <c r="B38" s="88"/>
      <c r="C38" s="88">
        <v>-0.013636717836827073</v>
      </c>
      <c r="D38" s="88">
        <f t="shared" ref="D38:E38" si="38">B38-AVERAGE(B:B)</f>
        <v>-0.004540438598</v>
      </c>
      <c r="E38" s="88">
        <f t="shared" si="38"/>
        <v>-0.01579047211</v>
      </c>
      <c r="F38" s="117">
        <f t="shared" si="3"/>
        <v>0.00007169566907</v>
      </c>
    </row>
    <row r="39">
      <c r="A39" s="90" t="s">
        <v>75</v>
      </c>
      <c r="B39" s="88"/>
      <c r="C39" s="88"/>
      <c r="D39" s="88">
        <f t="shared" ref="D39:E39" si="39">B39-AVERAGE(B:B)</f>
        <v>-0.004540438598</v>
      </c>
      <c r="E39" s="88">
        <f t="shared" si="39"/>
        <v>-0.002153754278</v>
      </c>
      <c r="F39" s="117">
        <f t="shared" si="3"/>
        <v>0.000009778989055</v>
      </c>
    </row>
    <row r="40">
      <c r="A40" s="90" t="s">
        <v>76</v>
      </c>
      <c r="B40" s="88">
        <v>-0.004726439415640216</v>
      </c>
      <c r="C40" s="88"/>
      <c r="D40" s="88">
        <f t="shared" ref="D40:E40" si="40">B40-AVERAGE(B:B)</f>
        <v>-0.009266878014</v>
      </c>
      <c r="E40" s="88">
        <f t="shared" si="40"/>
        <v>-0.002153754278</v>
      </c>
      <c r="F40" s="117">
        <f t="shared" si="3"/>
        <v>0.00001995857817</v>
      </c>
    </row>
    <row r="41">
      <c r="A41" s="90" t="s">
        <v>77</v>
      </c>
      <c r="B41" s="88">
        <v>-0.01034727143869607</v>
      </c>
      <c r="C41" s="88">
        <v>-0.010821831869510579</v>
      </c>
      <c r="D41" s="88">
        <f t="shared" ref="D41:E41" si="41">B41-AVERAGE(B:B)</f>
        <v>-0.01488771004</v>
      </c>
      <c r="E41" s="88">
        <f t="shared" si="41"/>
        <v>-0.01297558615</v>
      </c>
      <c r="F41" s="117">
        <f t="shared" si="3"/>
        <v>0.0001931767641</v>
      </c>
    </row>
    <row r="42">
      <c r="A42" s="90" t="s">
        <v>78</v>
      </c>
      <c r="B42" s="88">
        <v>0.0045564573544067954</v>
      </c>
      <c r="C42" s="88">
        <v>0.016338566988124636</v>
      </c>
      <c r="D42" s="88">
        <f t="shared" ref="D42:E42" si="42">B42-AVERAGE(B:B)</f>
        <v>0.00001601875637</v>
      </c>
      <c r="E42" s="88">
        <f t="shared" si="42"/>
        <v>0.01418481271</v>
      </c>
      <c r="F42" s="117">
        <f t="shared" si="3"/>
        <v>0.000000227223059</v>
      </c>
    </row>
    <row r="43">
      <c r="A43" s="90" t="s">
        <v>79</v>
      </c>
      <c r="B43" s="88">
        <v>-0.0031227821149751867</v>
      </c>
      <c r="C43" s="88">
        <v>-0.019995313598375364</v>
      </c>
      <c r="D43" s="88">
        <f t="shared" ref="D43:E43" si="43">B43-AVERAGE(B:B)</f>
        <v>-0.007663220713</v>
      </c>
      <c r="E43" s="88">
        <f t="shared" si="43"/>
        <v>-0.02214906788</v>
      </c>
      <c r="F43" s="117">
        <f t="shared" si="3"/>
        <v>0.0001697331957</v>
      </c>
    </row>
    <row r="44">
      <c r="A44" s="90" t="s">
        <v>80</v>
      </c>
      <c r="B44" s="88">
        <v>0.021014492753623326</v>
      </c>
      <c r="C44" s="88">
        <v>0.011774932827564255</v>
      </c>
      <c r="D44" s="88">
        <f t="shared" ref="D44:E44" si="44">B44-AVERAGE(B:B)</f>
        <v>0.01647405416</v>
      </c>
      <c r="E44" s="88">
        <f t="shared" si="44"/>
        <v>0.00962117855</v>
      </c>
      <c r="F44" s="117">
        <f t="shared" si="3"/>
        <v>0.0001584998165</v>
      </c>
    </row>
    <row r="45">
      <c r="A45" s="90" t="s">
        <v>81</v>
      </c>
      <c r="B45" s="88">
        <v>-0.015832263585793704</v>
      </c>
      <c r="C45" s="88">
        <v>-0.024739884393063516</v>
      </c>
      <c r="D45" s="88">
        <f t="shared" ref="D45:E45" si="45">B45-AVERAGE(B:B)</f>
        <v>-0.02037270218</v>
      </c>
      <c r="E45" s="88">
        <f t="shared" si="45"/>
        <v>-0.02689363867</v>
      </c>
      <c r="F45" s="117">
        <f t="shared" si="3"/>
        <v>0.0005478960913</v>
      </c>
    </row>
    <row r="46">
      <c r="A46" s="90" t="s">
        <v>82</v>
      </c>
      <c r="B46" s="88">
        <v>-0.0035531552018192025</v>
      </c>
      <c r="C46" s="88">
        <v>0.002782286111755239</v>
      </c>
      <c r="D46" s="88">
        <f t="shared" ref="D46:E46" si="46">B46-AVERAGE(B:B)</f>
        <v>-0.0080935938</v>
      </c>
      <c r="E46" s="88">
        <f t="shared" si="46"/>
        <v>0.0006285318337</v>
      </c>
      <c r="F46" s="117">
        <f t="shared" si="3"/>
        <v>-0.000005087081353</v>
      </c>
    </row>
    <row r="47">
      <c r="A47" s="90" t="s">
        <v>83</v>
      </c>
      <c r="B47" s="88">
        <v>-0.014979700405991947</v>
      </c>
      <c r="C47" s="88">
        <v>-0.06624810565057382</v>
      </c>
      <c r="D47" s="88">
        <f t="shared" ref="D47:E47" si="47">B47-AVERAGE(B:B)</f>
        <v>-0.019520139</v>
      </c>
      <c r="E47" s="88">
        <f t="shared" si="47"/>
        <v>-0.06840185993</v>
      </c>
      <c r="F47" s="117">
        <f t="shared" si="3"/>
        <v>0.001335213814</v>
      </c>
    </row>
    <row r="48">
      <c r="A48" s="90" t="s">
        <v>84</v>
      </c>
      <c r="B48" s="88">
        <v>0.02203462584060678</v>
      </c>
      <c r="C48" s="88">
        <v>-0.010991363928342213</v>
      </c>
      <c r="D48" s="88">
        <f t="shared" ref="D48:E48" si="48">B48-AVERAGE(B:B)</f>
        <v>0.01749418724</v>
      </c>
      <c r="E48" s="88">
        <f t="shared" si="48"/>
        <v>-0.01314511821</v>
      </c>
      <c r="F48" s="117">
        <f t="shared" si="3"/>
        <v>-0.0002299631592</v>
      </c>
    </row>
    <row r="49">
      <c r="A49" s="90" t="s">
        <v>85</v>
      </c>
      <c r="B49" s="88">
        <v>0.021335671489112862</v>
      </c>
      <c r="C49" s="88">
        <v>-0.01483616931514542</v>
      </c>
      <c r="D49" s="88">
        <f t="shared" ref="D49:E49" si="49">B49-AVERAGE(B:B)</f>
        <v>0.01679523289</v>
      </c>
      <c r="E49" s="88">
        <f t="shared" si="49"/>
        <v>-0.01698992359</v>
      </c>
      <c r="F49" s="117">
        <f t="shared" si="3"/>
        <v>-0.0002853497235</v>
      </c>
    </row>
    <row r="50">
      <c r="A50" s="90" t="s">
        <v>86</v>
      </c>
      <c r="B50" s="88">
        <v>-0.006244554167876726</v>
      </c>
      <c r="C50" s="88">
        <v>-0.017817679558011168</v>
      </c>
      <c r="D50" s="88">
        <f t="shared" ref="D50:E50" si="50">B50-AVERAGE(B:B)</f>
        <v>-0.01078499277</v>
      </c>
      <c r="E50" s="88">
        <f t="shared" si="50"/>
        <v>-0.01997143384</v>
      </c>
      <c r="F50" s="117">
        <f t="shared" si="3"/>
        <v>0.0002153917694</v>
      </c>
    </row>
    <row r="51">
      <c r="A51" s="90" t="s">
        <v>87</v>
      </c>
      <c r="B51" s="88">
        <v>0.02485488912040479</v>
      </c>
      <c r="C51" s="88">
        <v>0.02622253720765433</v>
      </c>
      <c r="D51" s="88">
        <f t="shared" ref="D51:E51" si="51">B51-AVERAGE(B:B)</f>
        <v>0.02031445052</v>
      </c>
      <c r="E51" s="88">
        <f t="shared" si="51"/>
        <v>0.02406878293</v>
      </c>
      <c r="F51" s="117">
        <f t="shared" si="3"/>
        <v>0.0004889441</v>
      </c>
    </row>
    <row r="52">
      <c r="A52" s="90" t="s">
        <v>88</v>
      </c>
      <c r="B52" s="88"/>
      <c r="C52" s="88">
        <v>-0.02109060635493265</v>
      </c>
      <c r="D52" s="88">
        <f t="shared" ref="D52:E52" si="52">B52-AVERAGE(B:B)</f>
        <v>-0.004540438598</v>
      </c>
      <c r="E52" s="88">
        <f t="shared" si="52"/>
        <v>-0.02324436063</v>
      </c>
      <c r="F52" s="117">
        <f t="shared" si="3"/>
        <v>0.0001055395922</v>
      </c>
    </row>
    <row r="53">
      <c r="A53" s="90" t="s">
        <v>89</v>
      </c>
      <c r="B53" s="88"/>
      <c r="C53" s="88"/>
      <c r="D53" s="88">
        <f t="shared" ref="D53:E53" si="53">B53-AVERAGE(B:B)</f>
        <v>-0.004540438598</v>
      </c>
      <c r="E53" s="88">
        <f t="shared" si="53"/>
        <v>-0.002153754278</v>
      </c>
      <c r="F53" s="117">
        <f t="shared" si="3"/>
        <v>0.000009778989055</v>
      </c>
    </row>
    <row r="54">
      <c r="A54" s="90" t="s">
        <v>90</v>
      </c>
      <c r="B54" s="88">
        <v>-0.031709426347650504</v>
      </c>
      <c r="C54" s="88"/>
      <c r="D54" s="88">
        <f t="shared" ref="D54:E54" si="54">B54-AVERAGE(B:B)</f>
        <v>-0.03624986495</v>
      </c>
      <c r="E54" s="88">
        <f t="shared" si="54"/>
        <v>-0.002153754278</v>
      </c>
      <c r="F54" s="117">
        <f t="shared" si="3"/>
        <v>0.0000780733017</v>
      </c>
    </row>
    <row r="55">
      <c r="A55" s="90" t="s">
        <v>91</v>
      </c>
      <c r="B55" s="88">
        <v>0.00303599826514378</v>
      </c>
      <c r="C55" s="88">
        <v>0.006369858372297976</v>
      </c>
      <c r="D55" s="88">
        <f t="shared" ref="D55:E55" si="55">B55-AVERAGE(B:B)</f>
        <v>-0.001504440333</v>
      </c>
      <c r="E55" s="88">
        <f t="shared" si="55"/>
        <v>0.004216104094</v>
      </c>
      <c r="F55" s="117">
        <f t="shared" si="3"/>
        <v>-0.000006342877047</v>
      </c>
    </row>
    <row r="56">
      <c r="A56" s="90" t="s">
        <v>92</v>
      </c>
      <c r="B56" s="88">
        <v>-0.002019910546818604</v>
      </c>
      <c r="C56" s="88">
        <v>-2.032520325203624E-4</v>
      </c>
      <c r="D56" s="88">
        <f t="shared" ref="D56:E56" si="56">B56-AVERAGE(B:B)</f>
        <v>-0.006560349145</v>
      </c>
      <c r="E56" s="88">
        <f t="shared" si="56"/>
        <v>-0.002357006311</v>
      </c>
      <c r="F56" s="117">
        <f t="shared" si="3"/>
        <v>0.00001546278433</v>
      </c>
    </row>
    <row r="57">
      <c r="A57" s="90" t="s">
        <v>93</v>
      </c>
      <c r="B57" s="88">
        <v>0.03602391629297452</v>
      </c>
      <c r="C57" s="88">
        <v>0.07049608355091386</v>
      </c>
      <c r="D57" s="88">
        <f t="shared" ref="D57:E57" si="57">B57-AVERAGE(B:B)</f>
        <v>0.03148347769</v>
      </c>
      <c r="E57" s="88">
        <f t="shared" si="57"/>
        <v>0.06834232927</v>
      </c>
      <c r="F57" s="117">
        <f t="shared" si="3"/>
        <v>0.002151654199</v>
      </c>
    </row>
    <row r="58">
      <c r="A58" s="90">
        <v>56.0</v>
      </c>
      <c r="B58" s="88">
        <v>0.07885824866956948</v>
      </c>
      <c r="C58" s="88">
        <v>-0.008200258955546103</v>
      </c>
      <c r="D58" s="88">
        <f t="shared" ref="D58:E58" si="58">B58-AVERAGE(B:B)</f>
        <v>0.07431781007</v>
      </c>
      <c r="E58" s="88">
        <f t="shared" si="58"/>
        <v>-0.01035401323</v>
      </c>
      <c r="F58" s="117">
        <f t="shared" si="3"/>
        <v>-0.000769487589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2" t="s">
        <v>1</v>
      </c>
      <c r="B1" s="51" t="s">
        <v>2</v>
      </c>
      <c r="C1" s="51" t="s">
        <v>3</v>
      </c>
      <c r="D1" s="51" t="s">
        <v>4</v>
      </c>
      <c r="E1" s="51" t="s">
        <v>5</v>
      </c>
      <c r="F1" s="51" t="s">
        <v>6</v>
      </c>
      <c r="G1" s="51" t="s">
        <v>7</v>
      </c>
    </row>
    <row r="2">
      <c r="A2" s="72">
        <v>45698.0</v>
      </c>
      <c r="B2" s="73">
        <v>6046.4</v>
      </c>
      <c r="C2" s="73">
        <v>6127.47</v>
      </c>
      <c r="D2" s="73">
        <v>6003.0</v>
      </c>
      <c r="E2" s="73">
        <v>6114.63</v>
      </c>
      <c r="F2" s="73">
        <v>6114.63</v>
      </c>
      <c r="G2" s="118">
        <v>2.251059E10</v>
      </c>
    </row>
    <row r="3">
      <c r="A3" s="72">
        <v>45705.0</v>
      </c>
      <c r="B3" s="73">
        <v>6121.6</v>
      </c>
      <c r="C3" s="73">
        <v>6147.43</v>
      </c>
      <c r="D3" s="73">
        <v>6008.56</v>
      </c>
      <c r="E3" s="73">
        <v>6013.13</v>
      </c>
      <c r="F3" s="73">
        <v>6013.13</v>
      </c>
      <c r="G3" s="118">
        <v>1.949556E10</v>
      </c>
    </row>
    <row r="4">
      <c r="A4" s="72">
        <v>45712.0</v>
      </c>
      <c r="B4" s="73">
        <v>6026.69</v>
      </c>
      <c r="C4" s="73">
        <v>6043.65</v>
      </c>
      <c r="D4" s="73">
        <v>5837.66</v>
      </c>
      <c r="E4" s="73">
        <v>5954.5</v>
      </c>
      <c r="F4" s="73">
        <v>5954.5</v>
      </c>
      <c r="G4" s="118">
        <v>2.673321E10</v>
      </c>
    </row>
    <row r="5">
      <c r="A5" s="72">
        <v>45719.0</v>
      </c>
      <c r="B5" s="73">
        <v>5968.33</v>
      </c>
      <c r="C5" s="73">
        <v>5986.09</v>
      </c>
      <c r="D5" s="73">
        <v>5666.29</v>
      </c>
      <c r="E5" s="73">
        <v>5770.2</v>
      </c>
      <c r="F5" s="73">
        <v>5770.2</v>
      </c>
      <c r="G5" s="118">
        <v>2.790815E10</v>
      </c>
    </row>
    <row r="6">
      <c r="A6" s="72">
        <v>45726.0</v>
      </c>
      <c r="B6" s="73">
        <v>5705.37</v>
      </c>
      <c r="C6" s="73">
        <v>5705.37</v>
      </c>
      <c r="D6" s="73">
        <v>5504.65</v>
      </c>
      <c r="E6" s="73">
        <v>5638.94</v>
      </c>
      <c r="F6" s="73">
        <v>5638.94</v>
      </c>
      <c r="G6" s="118">
        <v>2.77326E10</v>
      </c>
    </row>
    <row r="7">
      <c r="A7" s="72">
        <v>45733.0</v>
      </c>
      <c r="B7" s="73">
        <v>5635.6</v>
      </c>
      <c r="C7" s="73">
        <v>5715.33</v>
      </c>
      <c r="D7" s="73">
        <v>5597.76</v>
      </c>
      <c r="E7" s="73">
        <v>5667.56</v>
      </c>
      <c r="F7" s="73">
        <v>5667.56</v>
      </c>
      <c r="G7" s="118">
        <v>2.840401E10</v>
      </c>
    </row>
    <row r="8">
      <c r="A8" s="72">
        <v>45740.0</v>
      </c>
      <c r="B8" s="73">
        <v>5718.08</v>
      </c>
      <c r="C8" s="73">
        <v>5786.95</v>
      </c>
      <c r="D8" s="73">
        <v>5572.42</v>
      </c>
      <c r="E8" s="73">
        <v>5580.94</v>
      </c>
      <c r="F8" s="73">
        <v>5580.94</v>
      </c>
      <c r="G8" s="118">
        <v>2.208526E10</v>
      </c>
    </row>
    <row r="9">
      <c r="A9" s="72">
        <v>45747.0</v>
      </c>
      <c r="B9" s="73">
        <v>5527.91</v>
      </c>
      <c r="C9" s="73">
        <v>5695.31</v>
      </c>
      <c r="D9" s="73">
        <v>5069.9</v>
      </c>
      <c r="E9" s="73">
        <v>5074.08</v>
      </c>
      <c r="F9" s="73">
        <v>5074.08</v>
      </c>
      <c r="G9" s="118">
        <v>2.999955E10</v>
      </c>
    </row>
    <row r="10">
      <c r="A10" s="72">
        <v>45754.0</v>
      </c>
      <c r="B10" s="73">
        <v>4953.79</v>
      </c>
      <c r="C10" s="73">
        <v>5481.34</v>
      </c>
      <c r="D10" s="73">
        <v>4835.04</v>
      </c>
      <c r="E10" s="73">
        <v>5363.36</v>
      </c>
      <c r="F10" s="73">
        <v>5363.36</v>
      </c>
      <c r="G10" s="118">
        <v>3.786941E10</v>
      </c>
    </row>
    <row r="11">
      <c r="A11" s="72">
        <v>45761.0</v>
      </c>
      <c r="B11" s="73">
        <v>5441.96</v>
      </c>
      <c r="C11" s="73">
        <v>5459.46</v>
      </c>
      <c r="D11" s="73">
        <v>5220.79</v>
      </c>
      <c r="E11" s="73">
        <v>5282.7</v>
      </c>
      <c r="F11" s="73">
        <v>5282.7</v>
      </c>
      <c r="G11" s="118">
        <v>1.867118E10</v>
      </c>
    </row>
    <row r="12">
      <c r="A12" s="72">
        <v>45768.0</v>
      </c>
      <c r="B12" s="73">
        <v>5232.94</v>
      </c>
      <c r="C12" s="73">
        <v>5528.11</v>
      </c>
      <c r="D12" s="73">
        <v>5101.63</v>
      </c>
      <c r="E12" s="73">
        <v>5525.21</v>
      </c>
      <c r="F12" s="73">
        <v>5525.21</v>
      </c>
      <c r="G12" s="118">
        <v>2.319897E10</v>
      </c>
    </row>
    <row r="13">
      <c r="A13" s="72">
        <v>45775.0</v>
      </c>
      <c r="B13" s="73">
        <v>5529.22</v>
      </c>
      <c r="C13" s="73">
        <v>5700.7</v>
      </c>
      <c r="D13" s="73">
        <v>5433.24</v>
      </c>
      <c r="E13" s="73">
        <v>5686.67</v>
      </c>
      <c r="F13" s="73">
        <v>5686.67</v>
      </c>
      <c r="G13" s="118">
        <v>2.424417E10</v>
      </c>
    </row>
    <row r="14">
      <c r="A14" s="72">
        <v>45782.0</v>
      </c>
      <c r="B14" s="73">
        <v>5655.32</v>
      </c>
      <c r="C14" s="73">
        <v>5720.1</v>
      </c>
      <c r="D14" s="73">
        <v>5578.64</v>
      </c>
      <c r="E14" s="73">
        <v>5659.91</v>
      </c>
      <c r="F14" s="73">
        <v>5659.91</v>
      </c>
      <c r="G14" s="118">
        <v>2.433545E10</v>
      </c>
    </row>
    <row r="15">
      <c r="A15" s="72">
        <v>45789.0</v>
      </c>
      <c r="B15" s="73">
        <v>5807.2</v>
      </c>
      <c r="C15" s="73">
        <v>5958.62</v>
      </c>
      <c r="D15" s="73">
        <v>5786.08</v>
      </c>
      <c r="E15" s="73">
        <v>5958.38</v>
      </c>
      <c r="F15" s="73">
        <v>5958.38</v>
      </c>
      <c r="G15" s="118">
        <v>2.660646E10</v>
      </c>
    </row>
    <row r="16">
      <c r="A16" s="72">
        <v>45796.0</v>
      </c>
      <c r="B16" s="73">
        <v>5902.88</v>
      </c>
      <c r="C16" s="73">
        <v>5968.61</v>
      </c>
      <c r="D16" s="73">
        <v>5767.41</v>
      </c>
      <c r="E16" s="73">
        <v>5802.82</v>
      </c>
      <c r="F16" s="73">
        <v>5802.82</v>
      </c>
      <c r="G16" s="118">
        <v>2.363498E10</v>
      </c>
    </row>
    <row r="17">
      <c r="A17" s="72">
        <v>45803.0</v>
      </c>
      <c r="B17" s="73">
        <v>5854.07</v>
      </c>
      <c r="C17" s="73">
        <v>5943.13</v>
      </c>
      <c r="D17" s="73">
        <v>5843.66</v>
      </c>
      <c r="E17" s="73">
        <v>5911.69</v>
      </c>
      <c r="F17" s="73">
        <v>5911.69</v>
      </c>
      <c r="G17" s="118">
        <v>2.097972E10</v>
      </c>
    </row>
    <row r="18">
      <c r="A18" s="72">
        <v>45810.0</v>
      </c>
      <c r="B18" s="73">
        <v>5896.68</v>
      </c>
      <c r="C18" s="73">
        <v>6016.87</v>
      </c>
      <c r="D18" s="73">
        <v>5861.43</v>
      </c>
      <c r="E18" s="73">
        <v>6000.36</v>
      </c>
      <c r="F18" s="73">
        <v>6000.36</v>
      </c>
      <c r="G18" s="118">
        <v>2.407353E10</v>
      </c>
    </row>
    <row r="19">
      <c r="A19" s="72">
        <v>45817.0</v>
      </c>
      <c r="B19" s="73">
        <v>6004.63</v>
      </c>
      <c r="C19" s="73">
        <v>6059.4</v>
      </c>
      <c r="D19" s="73">
        <v>5963.21</v>
      </c>
      <c r="E19" s="73">
        <v>5976.97</v>
      </c>
      <c r="F19" s="73">
        <v>5976.97</v>
      </c>
      <c r="G19" s="118">
        <v>2.45652E10</v>
      </c>
    </row>
    <row r="20">
      <c r="A20" s="72">
        <v>45824.0</v>
      </c>
      <c r="B20" s="73">
        <v>6004.0</v>
      </c>
      <c r="C20" s="73">
        <v>6050.83</v>
      </c>
      <c r="D20" s="73">
        <v>5952.56</v>
      </c>
      <c r="E20" s="73">
        <v>5967.84</v>
      </c>
      <c r="F20" s="73">
        <v>5967.84</v>
      </c>
      <c r="G20" s="118">
        <v>2.262538E10</v>
      </c>
    </row>
    <row r="21">
      <c r="A21" s="72">
        <v>45831.0</v>
      </c>
      <c r="B21" s="73">
        <v>5969.67</v>
      </c>
      <c r="C21" s="73">
        <v>6187.68</v>
      </c>
      <c r="D21" s="73">
        <v>5943.23</v>
      </c>
      <c r="E21" s="73">
        <v>6173.07</v>
      </c>
      <c r="F21" s="73">
        <v>6173.07</v>
      </c>
      <c r="G21" s="118">
        <v>2.940929E10</v>
      </c>
    </row>
    <row r="22">
      <c r="A22" s="72">
        <v>45838.0</v>
      </c>
      <c r="B22" s="73">
        <v>6193.36</v>
      </c>
      <c r="C22" s="73">
        <v>6284.65</v>
      </c>
      <c r="D22" s="73">
        <v>6174.97</v>
      </c>
      <c r="E22" s="73">
        <v>6279.35</v>
      </c>
      <c r="F22" s="73">
        <v>6279.35</v>
      </c>
      <c r="G22" s="118">
        <v>2.108203E10</v>
      </c>
    </row>
    <row r="23">
      <c r="A23" s="72">
        <v>45845.0</v>
      </c>
      <c r="B23" s="73">
        <v>6259.04</v>
      </c>
      <c r="C23" s="73">
        <v>6290.22</v>
      </c>
      <c r="D23" s="73">
        <v>6201.0</v>
      </c>
      <c r="E23" s="73">
        <v>6259.75</v>
      </c>
      <c r="F23" s="73">
        <v>6259.75</v>
      </c>
      <c r="G23" s="118">
        <v>2.581267E10</v>
      </c>
    </row>
    <row r="24">
      <c r="A24" s="72">
        <v>45852.0</v>
      </c>
      <c r="B24" s="73">
        <v>6255.15</v>
      </c>
      <c r="C24" s="73">
        <v>6315.61</v>
      </c>
      <c r="D24" s="73">
        <v>6201.59</v>
      </c>
      <c r="E24" s="73">
        <v>6296.79</v>
      </c>
      <c r="F24" s="73">
        <v>6296.79</v>
      </c>
      <c r="G24" s="118">
        <v>2.573037E10</v>
      </c>
    </row>
    <row r="25">
      <c r="A25" s="72">
        <v>45859.0</v>
      </c>
      <c r="B25" s="73">
        <v>6304.74</v>
      </c>
      <c r="C25" s="73">
        <v>6395.82</v>
      </c>
      <c r="D25" s="73">
        <v>6281.71</v>
      </c>
      <c r="E25" s="73">
        <v>6388.64</v>
      </c>
      <c r="F25" s="73">
        <v>6388.64</v>
      </c>
      <c r="G25" s="118">
        <v>2.606883E10</v>
      </c>
    </row>
    <row r="26">
      <c r="A26" s="72">
        <v>45866.0</v>
      </c>
      <c r="B26" s="73">
        <v>6397.69</v>
      </c>
      <c r="C26" s="73">
        <v>6427.02</v>
      </c>
      <c r="D26" s="73">
        <v>6212.69</v>
      </c>
      <c r="E26" s="73">
        <v>6238.01</v>
      </c>
      <c r="F26" s="73">
        <v>6238.01</v>
      </c>
      <c r="G26" s="118">
        <v>2.692104E10</v>
      </c>
    </row>
    <row r="27">
      <c r="A27" s="72">
        <v>45873.0</v>
      </c>
      <c r="B27" s="73">
        <v>6271.71</v>
      </c>
      <c r="C27" s="73">
        <v>6395.16</v>
      </c>
      <c r="D27" s="73">
        <v>6271.71</v>
      </c>
      <c r="E27" s="73">
        <v>6389.45</v>
      </c>
      <c r="F27" s="73">
        <v>6389.45</v>
      </c>
      <c r="G27" s="118">
        <v>2.584455E10</v>
      </c>
    </row>
    <row r="28">
      <c r="A28" s="72">
        <v>45880.0</v>
      </c>
      <c r="B28" s="73">
        <v>6389.67</v>
      </c>
      <c r="C28" s="73">
        <v>6481.34</v>
      </c>
      <c r="D28" s="73">
        <v>6364.06</v>
      </c>
      <c r="E28" s="73">
        <v>6449.8</v>
      </c>
      <c r="F28" s="73">
        <v>6449.8</v>
      </c>
      <c r="G28" s="118">
        <v>2.402076E10</v>
      </c>
    </row>
    <row r="29">
      <c r="A29" s="72">
        <v>45887.0</v>
      </c>
      <c r="B29" s="73">
        <v>6445.02</v>
      </c>
      <c r="C29" s="73">
        <v>6478.89</v>
      </c>
      <c r="D29" s="73">
        <v>6343.86</v>
      </c>
      <c r="E29" s="73">
        <v>6466.91</v>
      </c>
      <c r="F29" s="73">
        <v>6466.91</v>
      </c>
      <c r="G29" s="118">
        <v>2.207054E10</v>
      </c>
    </row>
    <row r="30">
      <c r="A30" s="72">
        <v>45894.0</v>
      </c>
      <c r="B30" s="73">
        <v>6457.67</v>
      </c>
      <c r="C30" s="73">
        <v>6508.23</v>
      </c>
      <c r="D30" s="73">
        <v>6429.21</v>
      </c>
      <c r="E30" s="73">
        <v>6460.26</v>
      </c>
      <c r="F30" s="73">
        <v>6460.26</v>
      </c>
      <c r="G30" s="118">
        <v>2.158903E10</v>
      </c>
    </row>
    <row r="31">
      <c r="A31" s="72">
        <v>45901.0</v>
      </c>
      <c r="B31" s="73">
        <v>6401.51</v>
      </c>
      <c r="C31" s="73">
        <v>6532.65</v>
      </c>
      <c r="D31" s="73">
        <v>6360.58</v>
      </c>
      <c r="E31" s="73">
        <v>6481.5</v>
      </c>
      <c r="F31" s="73">
        <v>6481.5</v>
      </c>
      <c r="G31" s="118">
        <v>1.898625E10</v>
      </c>
    </row>
    <row r="32">
      <c r="A32" s="72">
        <v>45908.0</v>
      </c>
      <c r="B32" s="73">
        <v>6498.09</v>
      </c>
      <c r="C32" s="73">
        <v>6600.21</v>
      </c>
      <c r="D32" s="73">
        <v>6483.08</v>
      </c>
      <c r="E32" s="73">
        <v>6584.29</v>
      </c>
      <c r="F32" s="73">
        <v>6584.29</v>
      </c>
      <c r="G32" s="118">
        <v>2.533096E10</v>
      </c>
    </row>
    <row r="33">
      <c r="A33" s="72">
        <v>45915.0</v>
      </c>
      <c r="B33" s="73">
        <v>6603.49</v>
      </c>
      <c r="C33" s="73">
        <v>6671.82</v>
      </c>
      <c r="D33" s="73">
        <v>6551.15</v>
      </c>
      <c r="E33" s="73">
        <v>6664.36</v>
      </c>
      <c r="F33" s="73">
        <v>6664.36</v>
      </c>
      <c r="G33" s="118">
        <v>3.062823E10</v>
      </c>
    </row>
    <row r="34">
      <c r="A34" s="72">
        <v>45922.0</v>
      </c>
      <c r="B34" s="73">
        <v>6654.28</v>
      </c>
      <c r="C34" s="73">
        <v>6699.52</v>
      </c>
      <c r="D34" s="73">
        <v>6569.22</v>
      </c>
      <c r="E34" s="73">
        <v>6643.7</v>
      </c>
      <c r="F34" s="73">
        <v>6643.7</v>
      </c>
      <c r="G34" s="118">
        <v>2.77132E10</v>
      </c>
    </row>
    <row r="35">
      <c r="A35" s="72">
        <v>45929.0</v>
      </c>
      <c r="B35" s="73">
        <v>6661.58</v>
      </c>
      <c r="C35" s="73">
        <v>6750.87</v>
      </c>
      <c r="D35" s="73">
        <v>6641.0</v>
      </c>
      <c r="E35" s="73">
        <v>6715.79</v>
      </c>
      <c r="F35" s="73">
        <v>6715.79</v>
      </c>
      <c r="G35" s="118">
        <v>2.858316E10</v>
      </c>
    </row>
    <row r="36">
      <c r="A36" s="72">
        <v>45936.0</v>
      </c>
      <c r="B36" s="73">
        <v>6733.86</v>
      </c>
      <c r="C36" s="73">
        <v>6764.58</v>
      </c>
      <c r="D36" s="73">
        <v>6550.78</v>
      </c>
      <c r="E36" s="73">
        <v>6552.51</v>
      </c>
      <c r="F36" s="73">
        <v>6552.51</v>
      </c>
      <c r="G36" s="118">
        <v>2.851537E10</v>
      </c>
    </row>
    <row r="37">
      <c r="A37" s="72">
        <v>45943.0</v>
      </c>
      <c r="B37" s="73">
        <v>6622.53</v>
      </c>
      <c r="C37" s="73">
        <v>6724.12</v>
      </c>
      <c r="D37" s="73">
        <v>6555.07</v>
      </c>
      <c r="E37" s="73">
        <v>6664.01</v>
      </c>
      <c r="F37" s="73">
        <v>6664.01</v>
      </c>
      <c r="G37" s="118">
        <v>2.801024E10</v>
      </c>
    </row>
    <row r="38">
      <c r="A38" s="72">
        <v>45950.0</v>
      </c>
      <c r="B38" s="73">
        <v>6690.05</v>
      </c>
      <c r="C38" s="73">
        <v>6807.11</v>
      </c>
      <c r="D38" s="73">
        <v>6655.69</v>
      </c>
      <c r="E38" s="73">
        <v>6791.69</v>
      </c>
      <c r="F38" s="73">
        <v>6791.69</v>
      </c>
      <c r="G38" s="118">
        <v>2.625117E10</v>
      </c>
    </row>
    <row r="39">
      <c r="A39" s="72">
        <v>45957.0</v>
      </c>
      <c r="B39" s="73">
        <v>6845.46</v>
      </c>
      <c r="C39" s="73">
        <v>6920.34</v>
      </c>
      <c r="D39" s="73">
        <v>6814.26</v>
      </c>
      <c r="E39" s="73">
        <v>6840.2</v>
      </c>
      <c r="F39" s="73">
        <v>6840.2</v>
      </c>
      <c r="G39" s="118">
        <v>2.971769E10</v>
      </c>
    </row>
    <row r="40">
      <c r="A40" s="72">
        <v>45964.0</v>
      </c>
      <c r="B40" s="73">
        <v>6882.32</v>
      </c>
      <c r="C40" s="73">
        <v>6882.32</v>
      </c>
      <c r="D40" s="73">
        <v>6631.44</v>
      </c>
      <c r="E40" s="73">
        <v>6728.8</v>
      </c>
      <c r="F40" s="73">
        <v>6728.8</v>
      </c>
      <c r="G40" s="118">
        <v>2.97228E10</v>
      </c>
    </row>
    <row r="41">
      <c r="A41" s="72">
        <v>45971.0</v>
      </c>
      <c r="B41" s="73">
        <v>6785.36</v>
      </c>
      <c r="C41" s="73">
        <v>6869.91</v>
      </c>
      <c r="D41" s="73">
        <v>6646.87</v>
      </c>
      <c r="E41" s="73">
        <v>6734.11</v>
      </c>
      <c r="F41" s="73">
        <v>6734.11</v>
      </c>
      <c r="G41" s="118">
        <v>2.615953E10</v>
      </c>
    </row>
    <row r="42">
      <c r="A42" s="72">
        <v>45978.0</v>
      </c>
      <c r="B42" s="73">
        <v>6713.61</v>
      </c>
      <c r="C42" s="73">
        <v>6770.35</v>
      </c>
      <c r="D42" s="73">
        <v>6521.92</v>
      </c>
      <c r="E42" s="73">
        <v>6602.99</v>
      </c>
      <c r="F42" s="73">
        <v>6602.99</v>
      </c>
      <c r="G42" s="118">
        <v>2.691123E10</v>
      </c>
    </row>
    <row r="43">
      <c r="A43" s="72">
        <v>45985.0</v>
      </c>
      <c r="B43" s="73">
        <v>6636.54</v>
      </c>
      <c r="C43" s="73">
        <v>6850.86</v>
      </c>
      <c r="D43" s="73">
        <v>6630.7</v>
      </c>
      <c r="E43" s="73">
        <v>6849.09</v>
      </c>
      <c r="F43" s="73">
        <v>6849.09</v>
      </c>
      <c r="G43" s="118">
        <v>1.808661E10</v>
      </c>
    </row>
    <row r="44">
      <c r="A44" s="72">
        <v>45992.0</v>
      </c>
      <c r="B44" s="73">
        <v>6812.3</v>
      </c>
      <c r="C44" s="73">
        <v>6895.78</v>
      </c>
      <c r="D44" s="73">
        <v>6799.94</v>
      </c>
      <c r="E44" s="73">
        <v>6870.4</v>
      </c>
      <c r="F44" s="73">
        <v>6870.4</v>
      </c>
      <c r="G44" s="118">
        <v>2.368544E10</v>
      </c>
    </row>
    <row r="45">
      <c r="A45" s="72">
        <v>45999.0</v>
      </c>
      <c r="B45" s="73">
        <v>6875.2</v>
      </c>
      <c r="C45" s="73">
        <v>6903.46</v>
      </c>
      <c r="D45" s="73">
        <v>6801.79</v>
      </c>
      <c r="E45" s="73">
        <v>6827.41</v>
      </c>
      <c r="F45" s="73">
        <v>6827.41</v>
      </c>
      <c r="G45" s="118">
        <v>2.472297E10</v>
      </c>
    </row>
    <row r="46">
      <c r="A46" s="72">
        <v>46006.0</v>
      </c>
      <c r="B46" s="73">
        <v>6860.19</v>
      </c>
      <c r="C46" s="73">
        <v>6861.59</v>
      </c>
      <c r="D46" s="73">
        <v>6720.43</v>
      </c>
      <c r="E46" s="73">
        <v>6834.5</v>
      </c>
      <c r="F46" s="73">
        <v>6834.5</v>
      </c>
      <c r="G46" s="118">
        <v>2.873656E10</v>
      </c>
    </row>
    <row r="47">
      <c r="A47" s="72">
        <v>46013.0</v>
      </c>
      <c r="B47" s="73">
        <v>6865.21</v>
      </c>
      <c r="C47" s="73">
        <v>6945.77</v>
      </c>
      <c r="D47" s="73">
        <v>6855.74</v>
      </c>
      <c r="E47" s="73">
        <v>6929.94</v>
      </c>
      <c r="F47" s="73">
        <v>6929.94</v>
      </c>
      <c r="G47" s="118">
        <v>1.267041E10</v>
      </c>
    </row>
    <row r="48">
      <c r="A48" s="72">
        <v>46020.0</v>
      </c>
      <c r="B48" s="73">
        <v>6903.6</v>
      </c>
      <c r="C48" s="73">
        <v>6920.21</v>
      </c>
      <c r="D48" s="73">
        <v>6824.31</v>
      </c>
      <c r="E48" s="73">
        <v>6858.47</v>
      </c>
      <c r="F48" s="73">
        <v>6858.47</v>
      </c>
      <c r="G48" s="118">
        <v>1.429763E10</v>
      </c>
    </row>
    <row r="49">
      <c r="A49" s="72">
        <v>46027.0</v>
      </c>
      <c r="B49" s="73">
        <v>6892.19</v>
      </c>
      <c r="C49" s="73">
        <v>6978.36</v>
      </c>
      <c r="D49" s="73">
        <v>6891.56</v>
      </c>
      <c r="E49" s="73">
        <v>6966.28</v>
      </c>
      <c r="F49" s="73">
        <v>6966.28</v>
      </c>
      <c r="G49" s="118">
        <v>2.699319E10</v>
      </c>
    </row>
    <row r="50">
      <c r="A50" s="72">
        <v>46034.0</v>
      </c>
      <c r="B50" s="73">
        <v>6944.12</v>
      </c>
      <c r="C50" s="73">
        <v>6986.33</v>
      </c>
      <c r="D50" s="73">
        <v>6885.74</v>
      </c>
      <c r="E50" s="73">
        <v>6940.01</v>
      </c>
      <c r="F50" s="73">
        <v>6940.01</v>
      </c>
      <c r="G50" s="118">
        <v>2.61122E10</v>
      </c>
    </row>
    <row r="51">
      <c r="A51" s="72">
        <v>46041.0</v>
      </c>
      <c r="B51" s="73">
        <v>6865.24</v>
      </c>
      <c r="C51" s="73">
        <v>6934.75</v>
      </c>
      <c r="D51" s="73">
        <v>6789.05</v>
      </c>
      <c r="E51" s="73">
        <v>6915.61</v>
      </c>
      <c r="F51" s="73">
        <v>6915.61</v>
      </c>
      <c r="G51" s="118">
        <v>2.178453E10</v>
      </c>
    </row>
    <row r="52">
      <c r="A52" s="72">
        <v>46048.0</v>
      </c>
      <c r="B52" s="73">
        <v>6923.23</v>
      </c>
      <c r="C52" s="73">
        <v>7002.28</v>
      </c>
      <c r="D52" s="73">
        <v>6870.8</v>
      </c>
      <c r="E52" s="73">
        <v>6939.03</v>
      </c>
      <c r="F52" s="73">
        <v>6939.03</v>
      </c>
      <c r="G52" s="118">
        <v>2.938256E10</v>
      </c>
    </row>
    <row r="53">
      <c r="A53" s="72">
        <v>46055.0</v>
      </c>
      <c r="B53" s="73">
        <v>6916.64</v>
      </c>
      <c r="C53" s="73">
        <v>6993.08</v>
      </c>
      <c r="D53" s="73">
        <v>6780.13</v>
      </c>
      <c r="E53" s="73">
        <v>6932.3</v>
      </c>
      <c r="F53" s="73">
        <v>6932.3</v>
      </c>
      <c r="G53" s="118">
        <v>3.353826E10</v>
      </c>
    </row>
    <row r="54">
      <c r="A54" s="72">
        <v>46059.0</v>
      </c>
      <c r="B54" s="73">
        <v>6816.74</v>
      </c>
      <c r="C54" s="73">
        <v>6944.89</v>
      </c>
      <c r="D54" s="73">
        <v>6816.74</v>
      </c>
      <c r="E54" s="73">
        <v>6932.3</v>
      </c>
      <c r="F54" s="73">
        <v>6932.3</v>
      </c>
      <c r="G54" s="118">
        <v>3.842633E9</v>
      </c>
    </row>
    <row r="55">
      <c r="A55" s="32"/>
    </row>
    <row r="56">
      <c r="A56" s="32"/>
    </row>
    <row r="57">
      <c r="A57" s="32"/>
    </row>
    <row r="58">
      <c r="A58" s="32"/>
    </row>
    <row r="59">
      <c r="A59" s="32"/>
    </row>
    <row r="60">
      <c r="A60" s="32"/>
    </row>
    <row r="61">
      <c r="A61" s="32"/>
    </row>
    <row r="62">
      <c r="A62" s="32"/>
    </row>
    <row r="63">
      <c r="A63" s="32"/>
    </row>
    <row r="64">
      <c r="A64" s="32"/>
    </row>
    <row r="65">
      <c r="A65" s="32"/>
    </row>
    <row r="66">
      <c r="A66" s="32"/>
    </row>
    <row r="67">
      <c r="A67" s="32"/>
    </row>
    <row r="68">
      <c r="A68" s="32"/>
    </row>
    <row r="69">
      <c r="A69" s="32"/>
    </row>
    <row r="70">
      <c r="A70" s="32"/>
    </row>
    <row r="71">
      <c r="A71" s="32"/>
    </row>
    <row r="72">
      <c r="A72" s="32"/>
    </row>
    <row r="73">
      <c r="A73" s="32"/>
    </row>
    <row r="74">
      <c r="A74" s="32"/>
    </row>
    <row r="75">
      <c r="A75" s="32"/>
    </row>
    <row r="76">
      <c r="A76" s="32"/>
    </row>
    <row r="77">
      <c r="A77" s="32"/>
    </row>
    <row r="78">
      <c r="A78" s="32"/>
    </row>
    <row r="79">
      <c r="A79" s="32"/>
    </row>
    <row r="80">
      <c r="A80" s="32"/>
    </row>
    <row r="81">
      <c r="A81" s="32"/>
    </row>
    <row r="82">
      <c r="A82" s="32"/>
    </row>
    <row r="83">
      <c r="A83" s="32"/>
    </row>
    <row r="84">
      <c r="A84" s="32"/>
    </row>
    <row r="85">
      <c r="A85" s="32"/>
    </row>
    <row r="86">
      <c r="A86" s="32"/>
    </row>
    <row r="87">
      <c r="A87" s="32"/>
    </row>
    <row r="88">
      <c r="A88" s="32"/>
    </row>
    <row r="89">
      <c r="A89" s="32"/>
    </row>
    <row r="90">
      <c r="A90" s="32"/>
    </row>
    <row r="91">
      <c r="A91" s="32"/>
    </row>
    <row r="92">
      <c r="A92" s="32"/>
    </row>
    <row r="93">
      <c r="A93" s="32"/>
    </row>
    <row r="94">
      <c r="A94" s="32"/>
    </row>
    <row r="95">
      <c r="A95" s="32"/>
    </row>
    <row r="96">
      <c r="A96" s="32"/>
    </row>
    <row r="97">
      <c r="A97" s="32"/>
    </row>
    <row r="98">
      <c r="A98" s="32"/>
    </row>
    <row r="99">
      <c r="A99" s="32"/>
    </row>
    <row r="100">
      <c r="A100" s="32"/>
    </row>
    <row r="101">
      <c r="A101" s="32"/>
    </row>
    <row r="102">
      <c r="A102" s="32"/>
    </row>
    <row r="103">
      <c r="A103" s="32"/>
    </row>
    <row r="104">
      <c r="A104" s="32"/>
    </row>
    <row r="105">
      <c r="A105" s="32"/>
    </row>
    <row r="106">
      <c r="A106" s="32"/>
    </row>
    <row r="107">
      <c r="A107" s="32"/>
    </row>
    <row r="108">
      <c r="A108" s="32"/>
    </row>
    <row r="109">
      <c r="A109" s="32"/>
    </row>
    <row r="110">
      <c r="A110" s="32"/>
    </row>
    <row r="111">
      <c r="A111" s="32"/>
    </row>
    <row r="112">
      <c r="A112" s="32"/>
    </row>
    <row r="113">
      <c r="A113" s="32"/>
    </row>
    <row r="114">
      <c r="A114" s="32"/>
    </row>
    <row r="115">
      <c r="A115" s="32"/>
    </row>
    <row r="116">
      <c r="A116" s="32"/>
    </row>
    <row r="117">
      <c r="A117" s="32"/>
    </row>
    <row r="118">
      <c r="A118" s="32"/>
    </row>
    <row r="119">
      <c r="A119" s="32"/>
    </row>
    <row r="120">
      <c r="A120" s="32"/>
    </row>
    <row r="121">
      <c r="A121" s="32"/>
    </row>
    <row r="122">
      <c r="A122" s="32"/>
    </row>
    <row r="123">
      <c r="A123" s="32"/>
    </row>
    <row r="124">
      <c r="A124" s="32"/>
    </row>
    <row r="125">
      <c r="A125" s="32"/>
    </row>
    <row r="126">
      <c r="A126" s="32"/>
    </row>
    <row r="127">
      <c r="A127" s="32"/>
    </row>
    <row r="128">
      <c r="A128" s="32"/>
    </row>
    <row r="129">
      <c r="A129" s="32"/>
    </row>
    <row r="130">
      <c r="A130" s="32"/>
    </row>
    <row r="131">
      <c r="A131" s="32"/>
    </row>
    <row r="132">
      <c r="A132" s="32"/>
    </row>
    <row r="133">
      <c r="A133" s="32"/>
    </row>
    <row r="134">
      <c r="A134" s="32"/>
    </row>
    <row r="135">
      <c r="A135" s="32"/>
    </row>
    <row r="136">
      <c r="A136" s="32"/>
    </row>
    <row r="137">
      <c r="A137" s="32"/>
    </row>
    <row r="138">
      <c r="A138" s="32"/>
    </row>
    <row r="139">
      <c r="A139" s="32"/>
    </row>
    <row r="140">
      <c r="A140" s="32"/>
    </row>
    <row r="141">
      <c r="A141" s="32"/>
    </row>
    <row r="142">
      <c r="A142" s="32"/>
    </row>
    <row r="143">
      <c r="A143" s="32"/>
    </row>
    <row r="144">
      <c r="A144" s="32"/>
    </row>
    <row r="145">
      <c r="A145" s="32"/>
    </row>
    <row r="146">
      <c r="A146" s="32"/>
    </row>
    <row r="147">
      <c r="A147" s="32"/>
    </row>
    <row r="148">
      <c r="A148" s="32"/>
    </row>
    <row r="149">
      <c r="A149" s="32"/>
    </row>
    <row r="150">
      <c r="A150" s="32"/>
    </row>
    <row r="151">
      <c r="A151" s="32"/>
    </row>
    <row r="152">
      <c r="A152" s="32"/>
    </row>
    <row r="153">
      <c r="A153" s="32"/>
    </row>
    <row r="154">
      <c r="A154" s="32"/>
    </row>
    <row r="155">
      <c r="A155" s="32"/>
    </row>
    <row r="156">
      <c r="A156" s="32"/>
    </row>
    <row r="157">
      <c r="A157" s="32"/>
    </row>
    <row r="158">
      <c r="A158" s="32"/>
    </row>
    <row r="159">
      <c r="A159" s="32"/>
    </row>
    <row r="160">
      <c r="A160" s="32"/>
    </row>
    <row r="161">
      <c r="A161" s="32"/>
    </row>
    <row r="162">
      <c r="A162" s="32"/>
    </row>
    <row r="163">
      <c r="A163" s="32"/>
    </row>
    <row r="164">
      <c r="A164" s="32"/>
    </row>
    <row r="165">
      <c r="A165" s="32"/>
    </row>
    <row r="166">
      <c r="A166" s="32"/>
    </row>
    <row r="167">
      <c r="A167" s="32"/>
    </row>
    <row r="168">
      <c r="A168" s="32"/>
    </row>
    <row r="169">
      <c r="A169" s="32"/>
    </row>
    <row r="170">
      <c r="A170" s="32"/>
    </row>
    <row r="171">
      <c r="A171" s="32"/>
    </row>
    <row r="172">
      <c r="A172" s="32"/>
    </row>
    <row r="173">
      <c r="A173" s="32"/>
    </row>
    <row r="174">
      <c r="A174" s="32"/>
    </row>
    <row r="175">
      <c r="A175" s="32"/>
    </row>
    <row r="176">
      <c r="A176" s="32"/>
    </row>
    <row r="177">
      <c r="A177" s="32"/>
    </row>
    <row r="178">
      <c r="A178" s="32"/>
    </row>
    <row r="179">
      <c r="A179" s="32"/>
    </row>
    <row r="180">
      <c r="A180" s="32"/>
    </row>
    <row r="181">
      <c r="A181" s="32"/>
    </row>
    <row r="182">
      <c r="A182" s="32"/>
    </row>
    <row r="183">
      <c r="A183" s="32"/>
    </row>
    <row r="184">
      <c r="A184" s="32"/>
    </row>
    <row r="185">
      <c r="A185" s="32"/>
    </row>
    <row r="186">
      <c r="A186" s="32"/>
    </row>
    <row r="187">
      <c r="A187" s="32"/>
    </row>
    <row r="188">
      <c r="A188" s="32"/>
    </row>
    <row r="189">
      <c r="A189" s="32"/>
    </row>
    <row r="190">
      <c r="A190" s="32"/>
    </row>
    <row r="191">
      <c r="A191" s="32"/>
    </row>
    <row r="192">
      <c r="A192" s="32"/>
    </row>
    <row r="193">
      <c r="A193" s="32"/>
    </row>
    <row r="194">
      <c r="A194" s="32"/>
    </row>
    <row r="195">
      <c r="A195" s="32"/>
    </row>
    <row r="196">
      <c r="A196" s="32"/>
    </row>
    <row r="197">
      <c r="A197" s="32"/>
    </row>
    <row r="198">
      <c r="A198" s="32"/>
    </row>
    <row r="199">
      <c r="A199" s="32"/>
    </row>
    <row r="200">
      <c r="A200" s="32"/>
    </row>
    <row r="201">
      <c r="A201" s="32"/>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row r="232">
      <c r="A232" s="32"/>
    </row>
    <row r="233">
      <c r="A233" s="32"/>
    </row>
    <row r="234">
      <c r="A234" s="32"/>
    </row>
    <row r="235">
      <c r="A235" s="32"/>
    </row>
    <row r="236">
      <c r="A236" s="32"/>
    </row>
    <row r="237">
      <c r="A237" s="32"/>
    </row>
    <row r="238">
      <c r="A238" s="32"/>
    </row>
    <row r="239">
      <c r="A239" s="32"/>
    </row>
    <row r="240">
      <c r="A240" s="32"/>
    </row>
    <row r="241">
      <c r="A241" s="32"/>
    </row>
    <row r="242">
      <c r="A242" s="32"/>
    </row>
    <row r="243">
      <c r="A243" s="32"/>
    </row>
    <row r="244">
      <c r="A244" s="32"/>
    </row>
    <row r="245">
      <c r="A245" s="32"/>
    </row>
    <row r="246">
      <c r="A246" s="32"/>
    </row>
    <row r="247">
      <c r="A247" s="32"/>
    </row>
    <row r="248">
      <c r="A248" s="32"/>
    </row>
    <row r="249">
      <c r="A249" s="32"/>
    </row>
    <row r="250">
      <c r="A250" s="32"/>
    </row>
    <row r="251">
      <c r="A251" s="32"/>
    </row>
    <row r="252">
      <c r="A252" s="32"/>
    </row>
    <row r="253">
      <c r="A253" s="32"/>
    </row>
    <row r="254">
      <c r="A254" s="32"/>
    </row>
    <row r="255">
      <c r="A255" s="32"/>
    </row>
    <row r="256">
      <c r="A256" s="32"/>
    </row>
    <row r="257">
      <c r="A257" s="32"/>
    </row>
    <row r="258">
      <c r="A258" s="32"/>
    </row>
    <row r="259">
      <c r="A259" s="32"/>
    </row>
    <row r="260">
      <c r="A260" s="32"/>
    </row>
    <row r="261">
      <c r="A261" s="32"/>
    </row>
    <row r="262">
      <c r="A262" s="32"/>
    </row>
    <row r="263">
      <c r="A263" s="32"/>
    </row>
    <row r="264">
      <c r="A264" s="32"/>
    </row>
    <row r="265">
      <c r="A265" s="32"/>
    </row>
    <row r="266">
      <c r="A266" s="32"/>
    </row>
    <row r="267">
      <c r="A267" s="32"/>
    </row>
    <row r="268">
      <c r="A268" s="32"/>
    </row>
    <row r="269">
      <c r="A269" s="32"/>
    </row>
    <row r="270">
      <c r="A270" s="32"/>
    </row>
    <row r="271">
      <c r="A271" s="32"/>
    </row>
    <row r="272">
      <c r="A272" s="32"/>
    </row>
    <row r="273">
      <c r="A273" s="32"/>
    </row>
    <row r="274">
      <c r="A274" s="32"/>
    </row>
    <row r="275">
      <c r="A275" s="32"/>
    </row>
    <row r="276">
      <c r="A276" s="32"/>
    </row>
    <row r="277">
      <c r="A277" s="32"/>
    </row>
    <row r="278">
      <c r="A278" s="32"/>
    </row>
    <row r="279">
      <c r="A279" s="32"/>
    </row>
    <row r="280">
      <c r="A280" s="32"/>
    </row>
    <row r="281">
      <c r="A281" s="32"/>
    </row>
    <row r="282">
      <c r="A282" s="32"/>
    </row>
    <row r="283">
      <c r="A283" s="32"/>
    </row>
    <row r="284">
      <c r="A284" s="32"/>
    </row>
    <row r="285">
      <c r="A285" s="32"/>
    </row>
    <row r="286">
      <c r="A286" s="32"/>
    </row>
    <row r="287">
      <c r="A287" s="32"/>
    </row>
    <row r="288">
      <c r="A288" s="32"/>
    </row>
    <row r="289">
      <c r="A289" s="32"/>
    </row>
    <row r="290">
      <c r="A290" s="32"/>
    </row>
    <row r="291">
      <c r="A291" s="32"/>
    </row>
    <row r="292">
      <c r="A292" s="32"/>
    </row>
    <row r="293">
      <c r="A293" s="32"/>
    </row>
    <row r="294">
      <c r="A294" s="32"/>
    </row>
    <row r="295">
      <c r="A295" s="32"/>
    </row>
    <row r="296">
      <c r="A296" s="32"/>
    </row>
    <row r="297">
      <c r="A297" s="32"/>
    </row>
    <row r="298">
      <c r="A298" s="32"/>
    </row>
    <row r="299">
      <c r="A299" s="32"/>
    </row>
    <row r="300">
      <c r="A300" s="32"/>
    </row>
    <row r="301">
      <c r="A301" s="32"/>
    </row>
    <row r="302">
      <c r="A302" s="32"/>
    </row>
    <row r="303">
      <c r="A303" s="32"/>
    </row>
    <row r="304">
      <c r="A304" s="32"/>
    </row>
    <row r="305">
      <c r="A305" s="32"/>
    </row>
    <row r="306">
      <c r="A306" s="32"/>
    </row>
    <row r="307">
      <c r="A307" s="32"/>
    </row>
    <row r="308">
      <c r="A308" s="32"/>
    </row>
    <row r="309">
      <c r="A309" s="32"/>
    </row>
    <row r="310">
      <c r="A310" s="32"/>
    </row>
    <row r="311">
      <c r="A311" s="32"/>
    </row>
    <row r="312">
      <c r="A312" s="32"/>
    </row>
    <row r="313">
      <c r="A313" s="32"/>
    </row>
    <row r="314">
      <c r="A314" s="32"/>
    </row>
    <row r="315">
      <c r="A315" s="32"/>
    </row>
    <row r="316">
      <c r="A316" s="32"/>
    </row>
    <row r="317">
      <c r="A317" s="32"/>
    </row>
    <row r="318">
      <c r="A318" s="32"/>
    </row>
    <row r="319">
      <c r="A319" s="32"/>
    </row>
    <row r="320">
      <c r="A320" s="32"/>
    </row>
    <row r="321">
      <c r="A321" s="32"/>
    </row>
    <row r="322">
      <c r="A322" s="32"/>
    </row>
    <row r="323">
      <c r="A323" s="32"/>
    </row>
    <row r="324">
      <c r="A324" s="32"/>
    </row>
    <row r="325">
      <c r="A325" s="32"/>
    </row>
    <row r="326">
      <c r="A326" s="32"/>
    </row>
    <row r="327">
      <c r="A327" s="32"/>
    </row>
    <row r="328">
      <c r="A328" s="32"/>
    </row>
    <row r="329">
      <c r="A329" s="32"/>
    </row>
    <row r="330">
      <c r="A330" s="32"/>
    </row>
    <row r="331">
      <c r="A331" s="32"/>
    </row>
    <row r="332">
      <c r="A332" s="32"/>
    </row>
    <row r="333">
      <c r="A333" s="32"/>
    </row>
    <row r="334">
      <c r="A334" s="32"/>
    </row>
    <row r="335">
      <c r="A335" s="32"/>
    </row>
    <row r="336">
      <c r="A336" s="32"/>
    </row>
    <row r="337">
      <c r="A337" s="32"/>
    </row>
    <row r="338">
      <c r="A338" s="32"/>
    </row>
    <row r="339">
      <c r="A339" s="32"/>
    </row>
    <row r="340">
      <c r="A340" s="32"/>
    </row>
    <row r="341">
      <c r="A341" s="32"/>
    </row>
    <row r="342">
      <c r="A342" s="32"/>
    </row>
    <row r="343">
      <c r="A343" s="32"/>
    </row>
    <row r="344">
      <c r="A344" s="32"/>
    </row>
    <row r="345">
      <c r="A345" s="32"/>
    </row>
    <row r="346">
      <c r="A346" s="32"/>
    </row>
    <row r="347">
      <c r="A347" s="32"/>
    </row>
    <row r="348">
      <c r="A348" s="32"/>
    </row>
    <row r="349">
      <c r="A349" s="32"/>
    </row>
    <row r="350">
      <c r="A350" s="32"/>
    </row>
    <row r="351">
      <c r="A351" s="32"/>
    </row>
    <row r="352">
      <c r="A352" s="32"/>
    </row>
    <row r="353">
      <c r="A353" s="32"/>
    </row>
    <row r="354">
      <c r="A354" s="32"/>
    </row>
    <row r="355">
      <c r="A355" s="32"/>
    </row>
    <row r="356">
      <c r="A356" s="32"/>
    </row>
    <row r="357">
      <c r="A357" s="32"/>
    </row>
    <row r="358">
      <c r="A358" s="32"/>
    </row>
    <row r="359">
      <c r="A359" s="32"/>
    </row>
    <row r="360">
      <c r="A360" s="32"/>
    </row>
    <row r="361">
      <c r="A361" s="32"/>
    </row>
    <row r="362">
      <c r="A362" s="32"/>
    </row>
    <row r="363">
      <c r="A363" s="32"/>
    </row>
    <row r="364">
      <c r="A364" s="32"/>
    </row>
    <row r="365">
      <c r="A365" s="32"/>
    </row>
    <row r="366">
      <c r="A366" s="32"/>
    </row>
    <row r="367">
      <c r="A367" s="32"/>
    </row>
    <row r="368">
      <c r="A368" s="32"/>
    </row>
    <row r="369">
      <c r="A369" s="32"/>
    </row>
    <row r="370">
      <c r="A370" s="32"/>
    </row>
    <row r="371">
      <c r="A371" s="32"/>
    </row>
    <row r="372">
      <c r="A372" s="32"/>
    </row>
    <row r="373">
      <c r="A373" s="32"/>
    </row>
    <row r="374">
      <c r="A374" s="32"/>
    </row>
    <row r="375">
      <c r="A375" s="32"/>
    </row>
    <row r="376">
      <c r="A376" s="32"/>
    </row>
    <row r="377">
      <c r="A377" s="32"/>
    </row>
    <row r="378">
      <c r="A378" s="32"/>
    </row>
    <row r="379">
      <c r="A379" s="32"/>
    </row>
    <row r="380">
      <c r="A380" s="32"/>
    </row>
    <row r="381">
      <c r="A381" s="32"/>
    </row>
    <row r="382">
      <c r="A382" s="32"/>
    </row>
    <row r="383">
      <c r="A383" s="32"/>
    </row>
    <row r="384">
      <c r="A384" s="32"/>
    </row>
    <row r="385">
      <c r="A385" s="32"/>
    </row>
    <row r="386">
      <c r="A386" s="32"/>
    </row>
    <row r="387">
      <c r="A387" s="32"/>
    </row>
    <row r="388">
      <c r="A388" s="32"/>
    </row>
    <row r="389">
      <c r="A389" s="32"/>
    </row>
    <row r="390">
      <c r="A390" s="32"/>
    </row>
    <row r="391">
      <c r="A391" s="32"/>
    </row>
    <row r="392">
      <c r="A392" s="32"/>
    </row>
    <row r="393">
      <c r="A393" s="32"/>
    </row>
    <row r="394">
      <c r="A394" s="32"/>
    </row>
    <row r="395">
      <c r="A395" s="32"/>
    </row>
    <row r="396">
      <c r="A396" s="32"/>
    </row>
    <row r="397">
      <c r="A397" s="32"/>
    </row>
    <row r="398">
      <c r="A398" s="32"/>
    </row>
    <row r="399">
      <c r="A399" s="32"/>
    </row>
    <row r="400">
      <c r="A400" s="32"/>
    </row>
    <row r="401">
      <c r="A401" s="32"/>
    </row>
    <row r="402">
      <c r="A402" s="32"/>
    </row>
    <row r="403">
      <c r="A403" s="32"/>
    </row>
    <row r="404">
      <c r="A404" s="32"/>
    </row>
    <row r="405">
      <c r="A405" s="32"/>
    </row>
    <row r="406">
      <c r="A406" s="32"/>
    </row>
    <row r="407">
      <c r="A407" s="32"/>
    </row>
    <row r="408">
      <c r="A408" s="32"/>
    </row>
    <row r="409">
      <c r="A409" s="32"/>
    </row>
    <row r="410">
      <c r="A410" s="32"/>
    </row>
    <row r="411">
      <c r="A411" s="32"/>
    </row>
    <row r="412">
      <c r="A412" s="32"/>
    </row>
    <row r="413">
      <c r="A413" s="32"/>
    </row>
    <row r="414">
      <c r="A414" s="32"/>
    </row>
    <row r="415">
      <c r="A415" s="32"/>
    </row>
    <row r="416">
      <c r="A416" s="32"/>
    </row>
    <row r="417">
      <c r="A417" s="32"/>
    </row>
    <row r="418">
      <c r="A418" s="32"/>
    </row>
    <row r="419">
      <c r="A419" s="32"/>
    </row>
    <row r="420">
      <c r="A420" s="32"/>
    </row>
    <row r="421">
      <c r="A421" s="32"/>
    </row>
    <row r="422">
      <c r="A422" s="32"/>
    </row>
    <row r="423">
      <c r="A423" s="32"/>
    </row>
    <row r="424">
      <c r="A424" s="32"/>
    </row>
    <row r="425">
      <c r="A425" s="32"/>
    </row>
    <row r="426">
      <c r="A426" s="32"/>
    </row>
    <row r="427">
      <c r="A427" s="32"/>
    </row>
    <row r="428">
      <c r="A428" s="32"/>
    </row>
    <row r="429">
      <c r="A429" s="32"/>
    </row>
    <row r="430">
      <c r="A430" s="32"/>
    </row>
    <row r="431">
      <c r="A431" s="32"/>
    </row>
    <row r="432">
      <c r="A432" s="32"/>
    </row>
    <row r="433">
      <c r="A433" s="32"/>
    </row>
    <row r="434">
      <c r="A434" s="32"/>
    </row>
    <row r="435">
      <c r="A435" s="32"/>
    </row>
    <row r="436">
      <c r="A436" s="32"/>
    </row>
    <row r="437">
      <c r="A437" s="32"/>
    </row>
    <row r="438">
      <c r="A438" s="32"/>
    </row>
    <row r="439">
      <c r="A439" s="32"/>
    </row>
    <row r="440">
      <c r="A440" s="32"/>
    </row>
    <row r="441">
      <c r="A441" s="32"/>
    </row>
    <row r="442">
      <c r="A442" s="32"/>
    </row>
    <row r="443">
      <c r="A443" s="32"/>
    </row>
    <row r="444">
      <c r="A444" s="32"/>
    </row>
    <row r="445">
      <c r="A445" s="32"/>
    </row>
    <row r="446">
      <c r="A446" s="32"/>
    </row>
    <row r="447">
      <c r="A447" s="32"/>
    </row>
    <row r="448">
      <c r="A448" s="32"/>
    </row>
    <row r="449">
      <c r="A449" s="32"/>
    </row>
    <row r="450">
      <c r="A450" s="32"/>
    </row>
    <row r="451">
      <c r="A451" s="32"/>
    </row>
    <row r="452">
      <c r="A452" s="32"/>
    </row>
    <row r="453">
      <c r="A453" s="32"/>
    </row>
    <row r="454">
      <c r="A454" s="32"/>
    </row>
    <row r="455">
      <c r="A455" s="32"/>
    </row>
    <row r="456">
      <c r="A456" s="32"/>
    </row>
    <row r="457">
      <c r="A457" s="32"/>
    </row>
    <row r="458">
      <c r="A458" s="32"/>
    </row>
    <row r="459">
      <c r="A459" s="32"/>
    </row>
    <row r="460">
      <c r="A460" s="32"/>
    </row>
    <row r="461">
      <c r="A461" s="32"/>
    </row>
    <row r="462">
      <c r="A462" s="32"/>
    </row>
    <row r="463">
      <c r="A463" s="32"/>
    </row>
    <row r="464">
      <c r="A464" s="32"/>
    </row>
    <row r="465">
      <c r="A465" s="32"/>
    </row>
    <row r="466">
      <c r="A466" s="32"/>
    </row>
    <row r="467">
      <c r="A467" s="32"/>
    </row>
    <row r="468">
      <c r="A468" s="32"/>
    </row>
    <row r="469">
      <c r="A469" s="32"/>
    </row>
    <row r="470">
      <c r="A470" s="32"/>
    </row>
    <row r="471">
      <c r="A471" s="32"/>
    </row>
    <row r="472">
      <c r="A472" s="32"/>
    </row>
    <row r="473">
      <c r="A473" s="32"/>
    </row>
    <row r="474">
      <c r="A474" s="32"/>
    </row>
    <row r="475">
      <c r="A475" s="32"/>
    </row>
    <row r="476">
      <c r="A476" s="32"/>
    </row>
    <row r="477">
      <c r="A477" s="32"/>
    </row>
    <row r="478">
      <c r="A478" s="32"/>
    </row>
    <row r="479">
      <c r="A479" s="32"/>
    </row>
    <row r="480">
      <c r="A480" s="32"/>
    </row>
    <row r="481">
      <c r="A481" s="32"/>
    </row>
    <row r="482">
      <c r="A482" s="32"/>
    </row>
    <row r="483">
      <c r="A483" s="32"/>
    </row>
    <row r="484">
      <c r="A484" s="32"/>
    </row>
    <row r="485">
      <c r="A485" s="32"/>
    </row>
    <row r="486">
      <c r="A486" s="32"/>
    </row>
    <row r="487">
      <c r="A487" s="32"/>
    </row>
    <row r="488">
      <c r="A488" s="32"/>
    </row>
    <row r="489">
      <c r="A489" s="32"/>
    </row>
    <row r="490">
      <c r="A490" s="32"/>
    </row>
    <row r="491">
      <c r="A491" s="32"/>
    </row>
    <row r="492">
      <c r="A492" s="32"/>
    </row>
    <row r="493">
      <c r="A493" s="32"/>
    </row>
    <row r="494">
      <c r="A494" s="32"/>
    </row>
    <row r="495">
      <c r="A495" s="32"/>
    </row>
    <row r="496">
      <c r="A496" s="32"/>
    </row>
    <row r="497">
      <c r="A497" s="32"/>
    </row>
    <row r="498">
      <c r="A498" s="32"/>
    </row>
    <row r="499">
      <c r="A499" s="32"/>
    </row>
    <row r="500">
      <c r="A500" s="32"/>
    </row>
    <row r="501">
      <c r="A501" s="32"/>
    </row>
    <row r="502">
      <c r="A502" s="32"/>
    </row>
    <row r="503">
      <c r="A503" s="32"/>
    </row>
    <row r="504">
      <c r="A504" s="32"/>
    </row>
    <row r="505">
      <c r="A505" s="32"/>
    </row>
    <row r="506">
      <c r="A506" s="32"/>
    </row>
    <row r="507">
      <c r="A507" s="32"/>
    </row>
    <row r="508">
      <c r="A508" s="32"/>
    </row>
    <row r="509">
      <c r="A509" s="32"/>
    </row>
    <row r="510">
      <c r="A510" s="32"/>
    </row>
    <row r="511">
      <c r="A511" s="32"/>
    </row>
    <row r="512">
      <c r="A512" s="32"/>
    </row>
    <row r="513">
      <c r="A513" s="32"/>
    </row>
    <row r="514">
      <c r="A514" s="32"/>
    </row>
    <row r="515">
      <c r="A515" s="32"/>
    </row>
    <row r="516">
      <c r="A516" s="32"/>
    </row>
    <row r="517">
      <c r="A517" s="32"/>
    </row>
    <row r="518">
      <c r="A518" s="32"/>
    </row>
    <row r="519">
      <c r="A519" s="32"/>
    </row>
    <row r="520">
      <c r="A520" s="32"/>
    </row>
    <row r="521">
      <c r="A521" s="32"/>
    </row>
    <row r="522">
      <c r="A522" s="32"/>
    </row>
    <row r="523">
      <c r="A523" s="32"/>
    </row>
    <row r="524">
      <c r="A524" s="32"/>
    </row>
    <row r="525">
      <c r="A525" s="32"/>
    </row>
    <row r="526">
      <c r="A526" s="32"/>
    </row>
    <row r="527">
      <c r="A527" s="32"/>
    </row>
    <row r="528">
      <c r="A528" s="32"/>
    </row>
    <row r="529">
      <c r="A529" s="32"/>
    </row>
    <row r="530">
      <c r="A530" s="32"/>
    </row>
    <row r="531">
      <c r="A531" s="32"/>
    </row>
    <row r="532">
      <c r="A532" s="32"/>
    </row>
    <row r="533">
      <c r="A533" s="32"/>
    </row>
    <row r="534">
      <c r="A534" s="32"/>
    </row>
    <row r="535">
      <c r="A535" s="32"/>
    </row>
    <row r="536">
      <c r="A536" s="32"/>
    </row>
    <row r="537">
      <c r="A537" s="32"/>
    </row>
    <row r="538">
      <c r="A538" s="32"/>
    </row>
    <row r="539">
      <c r="A539" s="32"/>
    </row>
    <row r="540">
      <c r="A540" s="32"/>
    </row>
    <row r="541">
      <c r="A541" s="32"/>
    </row>
    <row r="542">
      <c r="A542" s="32"/>
    </row>
    <row r="543">
      <c r="A543" s="32"/>
    </row>
    <row r="544">
      <c r="A544" s="32"/>
    </row>
    <row r="545">
      <c r="A545" s="32"/>
    </row>
    <row r="546">
      <c r="A546" s="32"/>
    </row>
    <row r="547">
      <c r="A547" s="32"/>
    </row>
    <row r="548">
      <c r="A548" s="32"/>
    </row>
    <row r="549">
      <c r="A549" s="32"/>
    </row>
    <row r="550">
      <c r="A550" s="32"/>
    </row>
    <row r="551">
      <c r="A551" s="32"/>
    </row>
    <row r="552">
      <c r="A552" s="32"/>
    </row>
    <row r="553">
      <c r="A553" s="32"/>
    </row>
    <row r="554">
      <c r="A554" s="32"/>
    </row>
    <row r="555">
      <c r="A555" s="32"/>
    </row>
    <row r="556">
      <c r="A556" s="32"/>
    </row>
    <row r="557">
      <c r="A557" s="32"/>
    </row>
    <row r="558">
      <c r="A558" s="32"/>
    </row>
    <row r="559">
      <c r="A559" s="32"/>
    </row>
    <row r="560">
      <c r="A560" s="32"/>
    </row>
    <row r="561">
      <c r="A561" s="32"/>
    </row>
    <row r="562">
      <c r="A562" s="32"/>
    </row>
    <row r="563">
      <c r="A563" s="32"/>
    </row>
    <row r="564">
      <c r="A564" s="32"/>
    </row>
    <row r="565">
      <c r="A565" s="32"/>
    </row>
    <row r="566">
      <c r="A566" s="32"/>
    </row>
    <row r="567">
      <c r="A567" s="32"/>
    </row>
    <row r="568">
      <c r="A568" s="32"/>
    </row>
    <row r="569">
      <c r="A569" s="32"/>
    </row>
    <row r="570">
      <c r="A570" s="32"/>
    </row>
    <row r="571">
      <c r="A571" s="32"/>
    </row>
    <row r="572">
      <c r="A572" s="32"/>
    </row>
    <row r="573">
      <c r="A573" s="32"/>
    </row>
    <row r="574">
      <c r="A574" s="32"/>
    </row>
    <row r="575">
      <c r="A575" s="32"/>
    </row>
    <row r="576">
      <c r="A576" s="32"/>
    </row>
    <row r="577">
      <c r="A577" s="32"/>
    </row>
    <row r="578">
      <c r="A578" s="32"/>
    </row>
    <row r="579">
      <c r="A579" s="32"/>
    </row>
    <row r="580">
      <c r="A580" s="32"/>
    </row>
    <row r="581">
      <c r="A581" s="32"/>
    </row>
    <row r="582">
      <c r="A582" s="32"/>
    </row>
    <row r="583">
      <c r="A583" s="32"/>
    </row>
    <row r="584">
      <c r="A584" s="32"/>
    </row>
    <row r="585">
      <c r="A585" s="32"/>
    </row>
    <row r="586">
      <c r="A586" s="32"/>
    </row>
    <row r="587">
      <c r="A587" s="32"/>
    </row>
    <row r="588">
      <c r="A588" s="32"/>
    </row>
    <row r="589">
      <c r="A589" s="32"/>
    </row>
    <row r="590">
      <c r="A590" s="32"/>
    </row>
    <row r="591">
      <c r="A591" s="32"/>
    </row>
    <row r="592">
      <c r="A592" s="32"/>
    </row>
    <row r="593">
      <c r="A593" s="32"/>
    </row>
    <row r="594">
      <c r="A594" s="32"/>
    </row>
    <row r="595">
      <c r="A595" s="32"/>
    </row>
    <row r="596">
      <c r="A596" s="32"/>
    </row>
    <row r="597">
      <c r="A597" s="32"/>
    </row>
    <row r="598">
      <c r="A598" s="32"/>
    </row>
    <row r="599">
      <c r="A599" s="32"/>
    </row>
    <row r="600">
      <c r="A600" s="32"/>
    </row>
    <row r="601">
      <c r="A601" s="32"/>
    </row>
    <row r="602">
      <c r="A602" s="32"/>
    </row>
    <row r="603">
      <c r="A603" s="32"/>
    </row>
    <row r="604">
      <c r="A604" s="32"/>
    </row>
    <row r="605">
      <c r="A605" s="32"/>
    </row>
    <row r="606">
      <c r="A606" s="32"/>
    </row>
    <row r="607">
      <c r="A607" s="32"/>
    </row>
    <row r="608">
      <c r="A608" s="32"/>
    </row>
    <row r="609">
      <c r="A609" s="32"/>
    </row>
    <row r="610">
      <c r="A610" s="32"/>
    </row>
    <row r="611">
      <c r="A611" s="32"/>
    </row>
    <row r="612">
      <c r="A612" s="32"/>
    </row>
    <row r="613">
      <c r="A613" s="32"/>
    </row>
    <row r="614">
      <c r="A614" s="32"/>
    </row>
    <row r="615">
      <c r="A615" s="32"/>
    </row>
    <row r="616">
      <c r="A616" s="32"/>
    </row>
    <row r="617">
      <c r="A617" s="32"/>
    </row>
    <row r="618">
      <c r="A618" s="32"/>
    </row>
    <row r="619">
      <c r="A619" s="32"/>
    </row>
    <row r="620">
      <c r="A620" s="32"/>
    </row>
    <row r="621">
      <c r="A621" s="32"/>
    </row>
    <row r="622">
      <c r="A622" s="32"/>
    </row>
    <row r="623">
      <c r="A623" s="32"/>
    </row>
    <row r="624">
      <c r="A624" s="32"/>
    </row>
    <row r="625">
      <c r="A625" s="32"/>
    </row>
    <row r="626">
      <c r="A626" s="32"/>
    </row>
    <row r="627">
      <c r="A627" s="32"/>
    </row>
    <row r="628">
      <c r="A628" s="32"/>
    </row>
    <row r="629">
      <c r="A629" s="32"/>
    </row>
    <row r="630">
      <c r="A630" s="32"/>
    </row>
    <row r="631">
      <c r="A631" s="32"/>
    </row>
    <row r="632">
      <c r="A632" s="32"/>
    </row>
    <row r="633">
      <c r="A633" s="32"/>
    </row>
    <row r="634">
      <c r="A634" s="32"/>
    </row>
    <row r="635">
      <c r="A635" s="32"/>
    </row>
    <row r="636">
      <c r="A636" s="32"/>
    </row>
    <row r="637">
      <c r="A637" s="32"/>
    </row>
    <row r="638">
      <c r="A638" s="32"/>
    </row>
    <row r="639">
      <c r="A639" s="32"/>
    </row>
    <row r="640">
      <c r="A640" s="32"/>
    </row>
    <row r="641">
      <c r="A641" s="32"/>
    </row>
    <row r="642">
      <c r="A642" s="32"/>
    </row>
    <row r="643">
      <c r="A643" s="32"/>
    </row>
    <row r="644">
      <c r="A644" s="32"/>
    </row>
    <row r="645">
      <c r="A645" s="32"/>
    </row>
    <row r="646">
      <c r="A646" s="32"/>
    </row>
    <row r="647">
      <c r="A647" s="32"/>
    </row>
    <row r="648">
      <c r="A648" s="32"/>
    </row>
    <row r="649">
      <c r="A649" s="32"/>
    </row>
    <row r="650">
      <c r="A650" s="32"/>
    </row>
    <row r="651">
      <c r="A651" s="32"/>
    </row>
    <row r="652">
      <c r="A652" s="32"/>
    </row>
    <row r="653">
      <c r="A653" s="32"/>
    </row>
    <row r="654">
      <c r="A654" s="32"/>
    </row>
    <row r="655">
      <c r="A655" s="32"/>
    </row>
    <row r="656">
      <c r="A656" s="32"/>
    </row>
    <row r="657">
      <c r="A657" s="32"/>
    </row>
    <row r="658">
      <c r="A658" s="32"/>
    </row>
    <row r="659">
      <c r="A659" s="32"/>
    </row>
    <row r="660">
      <c r="A660" s="32"/>
    </row>
    <row r="661">
      <c r="A661" s="32"/>
    </row>
    <row r="662">
      <c r="A662" s="32"/>
    </row>
    <row r="663">
      <c r="A663" s="32"/>
    </row>
    <row r="664">
      <c r="A664" s="32"/>
    </row>
    <row r="665">
      <c r="A665" s="32"/>
    </row>
    <row r="666">
      <c r="A666" s="32"/>
    </row>
    <row r="667">
      <c r="A667" s="32"/>
    </row>
    <row r="668">
      <c r="A668" s="32"/>
    </row>
    <row r="669">
      <c r="A669" s="32"/>
    </row>
    <row r="670">
      <c r="A670" s="32"/>
    </row>
    <row r="671">
      <c r="A671" s="32"/>
    </row>
    <row r="672">
      <c r="A672" s="32"/>
    </row>
    <row r="673">
      <c r="A673" s="32"/>
    </row>
    <row r="674">
      <c r="A674" s="32"/>
    </row>
    <row r="675">
      <c r="A675" s="32"/>
    </row>
    <row r="676">
      <c r="A676" s="32"/>
    </row>
    <row r="677">
      <c r="A677" s="32"/>
    </row>
    <row r="678">
      <c r="A678" s="32"/>
    </row>
    <row r="679">
      <c r="A679" s="32"/>
    </row>
    <row r="680">
      <c r="A680" s="32"/>
    </row>
    <row r="681">
      <c r="A681" s="32"/>
    </row>
    <row r="682">
      <c r="A682" s="32"/>
    </row>
    <row r="683">
      <c r="A683" s="32"/>
    </row>
    <row r="684">
      <c r="A684" s="32"/>
    </row>
    <row r="685">
      <c r="A685" s="32"/>
    </row>
    <row r="686">
      <c r="A686" s="32"/>
    </row>
    <row r="687">
      <c r="A687" s="32"/>
    </row>
    <row r="688">
      <c r="A688" s="32"/>
    </row>
    <row r="689">
      <c r="A689" s="32"/>
    </row>
    <row r="690">
      <c r="A690" s="32"/>
    </row>
    <row r="691">
      <c r="A691" s="32"/>
    </row>
    <row r="692">
      <c r="A692" s="32"/>
    </row>
    <row r="693">
      <c r="A693" s="32"/>
    </row>
    <row r="694">
      <c r="A694" s="32"/>
    </row>
    <row r="695">
      <c r="A695" s="32"/>
    </row>
    <row r="696">
      <c r="A696" s="32"/>
    </row>
    <row r="697">
      <c r="A697" s="32"/>
    </row>
    <row r="698">
      <c r="A698" s="32"/>
    </row>
    <row r="699">
      <c r="A699" s="32"/>
    </row>
    <row r="700">
      <c r="A700" s="32"/>
    </row>
    <row r="701">
      <c r="A701" s="32"/>
    </row>
    <row r="702">
      <c r="A702" s="32"/>
    </row>
    <row r="703">
      <c r="A703" s="32"/>
    </row>
    <row r="704">
      <c r="A704" s="32"/>
    </row>
    <row r="705">
      <c r="A705" s="32"/>
    </row>
    <row r="706">
      <c r="A706" s="32"/>
    </row>
    <row r="707">
      <c r="A707" s="32"/>
    </row>
    <row r="708">
      <c r="A708" s="32"/>
    </row>
    <row r="709">
      <c r="A709" s="32"/>
    </row>
    <row r="710">
      <c r="A710" s="32"/>
    </row>
    <row r="711">
      <c r="A711" s="32"/>
    </row>
    <row r="712">
      <c r="A712" s="32"/>
    </row>
    <row r="713">
      <c r="A713" s="32"/>
    </row>
    <row r="714">
      <c r="A714" s="32"/>
    </row>
    <row r="715">
      <c r="A715" s="32"/>
    </row>
    <row r="716">
      <c r="A716" s="32"/>
    </row>
    <row r="717">
      <c r="A717" s="32"/>
    </row>
    <row r="718">
      <c r="A718" s="32"/>
    </row>
    <row r="719">
      <c r="A719" s="32"/>
    </row>
    <row r="720">
      <c r="A720" s="32"/>
    </row>
    <row r="721">
      <c r="A721" s="32"/>
    </row>
    <row r="722">
      <c r="A722" s="32"/>
    </row>
    <row r="723">
      <c r="A723" s="32"/>
    </row>
    <row r="724">
      <c r="A724" s="32"/>
    </row>
    <row r="725">
      <c r="A725" s="32"/>
    </row>
    <row r="726">
      <c r="A726" s="32"/>
    </row>
    <row r="727">
      <c r="A727" s="32"/>
    </row>
    <row r="728">
      <c r="A728" s="32"/>
    </row>
    <row r="729">
      <c r="A729" s="32"/>
    </row>
    <row r="730">
      <c r="A730" s="32"/>
    </row>
    <row r="731">
      <c r="A731" s="32"/>
    </row>
    <row r="732">
      <c r="A732" s="32"/>
    </row>
    <row r="733">
      <c r="A733" s="32"/>
    </row>
    <row r="734">
      <c r="A734" s="32"/>
    </row>
    <row r="735">
      <c r="A735" s="32"/>
    </row>
    <row r="736">
      <c r="A736" s="32"/>
    </row>
    <row r="737">
      <c r="A737" s="32"/>
    </row>
    <row r="738">
      <c r="A738" s="32"/>
    </row>
    <row r="739">
      <c r="A739" s="32"/>
    </row>
    <row r="740">
      <c r="A740" s="32"/>
    </row>
    <row r="741">
      <c r="A741" s="32"/>
    </row>
    <row r="742">
      <c r="A742" s="32"/>
    </row>
    <row r="743">
      <c r="A743" s="32"/>
    </row>
    <row r="744">
      <c r="A744" s="32"/>
    </row>
    <row r="745">
      <c r="A745" s="32"/>
    </row>
    <row r="746">
      <c r="A746" s="32"/>
    </row>
    <row r="747">
      <c r="A747" s="32"/>
    </row>
    <row r="748">
      <c r="A748" s="32"/>
    </row>
    <row r="749">
      <c r="A749" s="32"/>
    </row>
    <row r="750">
      <c r="A750" s="32"/>
    </row>
    <row r="751">
      <c r="A751" s="32"/>
    </row>
    <row r="752">
      <c r="A752" s="32"/>
    </row>
    <row r="753">
      <c r="A753" s="32"/>
    </row>
    <row r="754">
      <c r="A754" s="32"/>
    </row>
    <row r="755">
      <c r="A755" s="32"/>
    </row>
    <row r="756">
      <c r="A756" s="32"/>
    </row>
    <row r="757">
      <c r="A757" s="32"/>
    </row>
    <row r="758">
      <c r="A758" s="32"/>
    </row>
    <row r="759">
      <c r="A759" s="32"/>
    </row>
    <row r="760">
      <c r="A760" s="32"/>
    </row>
    <row r="761">
      <c r="A761" s="32"/>
    </row>
    <row r="762">
      <c r="A762" s="32"/>
    </row>
    <row r="763">
      <c r="A763" s="32"/>
    </row>
    <row r="764">
      <c r="A764" s="32"/>
    </row>
    <row r="765">
      <c r="A765" s="32"/>
    </row>
    <row r="766">
      <c r="A766" s="32"/>
    </row>
    <row r="767">
      <c r="A767" s="32"/>
    </row>
    <row r="768">
      <c r="A768" s="32"/>
    </row>
    <row r="769">
      <c r="A769" s="32"/>
    </row>
    <row r="770">
      <c r="A770" s="32"/>
    </row>
    <row r="771">
      <c r="A771" s="32"/>
    </row>
    <row r="772">
      <c r="A772" s="32"/>
    </row>
    <row r="773">
      <c r="A773" s="32"/>
    </row>
    <row r="774">
      <c r="A774" s="32"/>
    </row>
    <row r="775">
      <c r="A775" s="32"/>
    </row>
    <row r="776">
      <c r="A776" s="32"/>
    </row>
    <row r="777">
      <c r="A777" s="32"/>
    </row>
    <row r="778">
      <c r="A778" s="32"/>
    </row>
    <row r="779">
      <c r="A779" s="32"/>
    </row>
    <row r="780">
      <c r="A780" s="32"/>
    </row>
    <row r="781">
      <c r="A781" s="32"/>
    </row>
    <row r="782">
      <c r="A782" s="32"/>
    </row>
    <row r="783">
      <c r="A783" s="32"/>
    </row>
    <row r="784">
      <c r="A784" s="32"/>
    </row>
    <row r="785">
      <c r="A785" s="32"/>
    </row>
    <row r="786">
      <c r="A786" s="32"/>
    </row>
    <row r="787">
      <c r="A787" s="32"/>
    </row>
    <row r="788">
      <c r="A788" s="32"/>
    </row>
    <row r="789">
      <c r="A789" s="32"/>
    </row>
    <row r="790">
      <c r="A790" s="32"/>
    </row>
    <row r="791">
      <c r="A791" s="32"/>
    </row>
    <row r="792">
      <c r="A792" s="32"/>
    </row>
    <row r="793">
      <c r="A793" s="32"/>
    </row>
    <row r="794">
      <c r="A794" s="32"/>
    </row>
    <row r="795">
      <c r="A795" s="32"/>
    </row>
    <row r="796">
      <c r="A796" s="32"/>
    </row>
    <row r="797">
      <c r="A797" s="32"/>
    </row>
    <row r="798">
      <c r="A798" s="32"/>
    </row>
    <row r="799">
      <c r="A799" s="32"/>
    </row>
    <row r="800">
      <c r="A800" s="32"/>
    </row>
    <row r="801">
      <c r="A801" s="32"/>
    </row>
    <row r="802">
      <c r="A802" s="32"/>
    </row>
    <row r="803">
      <c r="A803" s="32"/>
    </row>
    <row r="804">
      <c r="A804" s="32"/>
    </row>
    <row r="805">
      <c r="A805" s="32"/>
    </row>
    <row r="806">
      <c r="A806" s="32"/>
    </row>
    <row r="807">
      <c r="A807" s="32"/>
    </row>
    <row r="808">
      <c r="A808" s="32"/>
    </row>
    <row r="809">
      <c r="A809" s="32"/>
    </row>
    <row r="810">
      <c r="A810" s="32"/>
    </row>
    <row r="811">
      <c r="A811" s="32"/>
    </row>
    <row r="812">
      <c r="A812" s="32"/>
    </row>
    <row r="813">
      <c r="A813" s="32"/>
    </row>
    <row r="814">
      <c r="A814" s="32"/>
    </row>
    <row r="815">
      <c r="A815" s="32"/>
    </row>
    <row r="816">
      <c r="A816" s="32"/>
    </row>
    <row r="817">
      <c r="A817" s="32"/>
    </row>
    <row r="818">
      <c r="A818" s="32"/>
    </row>
    <row r="819">
      <c r="A819" s="32"/>
    </row>
    <row r="820">
      <c r="A820" s="32"/>
    </row>
    <row r="821">
      <c r="A821" s="32"/>
    </row>
    <row r="822">
      <c r="A822" s="32"/>
    </row>
    <row r="823">
      <c r="A823" s="32"/>
    </row>
    <row r="824">
      <c r="A824" s="32"/>
    </row>
    <row r="825">
      <c r="A825" s="32"/>
    </row>
    <row r="826">
      <c r="A826" s="32"/>
    </row>
    <row r="827">
      <c r="A827" s="32"/>
    </row>
    <row r="828">
      <c r="A828" s="32"/>
    </row>
    <row r="829">
      <c r="A829" s="32"/>
    </row>
    <row r="830">
      <c r="A830" s="32"/>
    </row>
    <row r="831">
      <c r="A831" s="32"/>
    </row>
    <row r="832">
      <c r="A832" s="32"/>
    </row>
    <row r="833">
      <c r="A833" s="32"/>
    </row>
    <row r="834">
      <c r="A834" s="32"/>
    </row>
    <row r="835">
      <c r="A835" s="32"/>
    </row>
    <row r="836">
      <c r="A836" s="32"/>
    </row>
    <row r="837">
      <c r="A837" s="32"/>
    </row>
    <row r="838">
      <c r="A838" s="32"/>
    </row>
    <row r="839">
      <c r="A839" s="32"/>
    </row>
    <row r="840">
      <c r="A840" s="32"/>
    </row>
    <row r="841">
      <c r="A841" s="32"/>
    </row>
    <row r="842">
      <c r="A842" s="32"/>
    </row>
    <row r="843">
      <c r="A843" s="32"/>
    </row>
    <row r="844">
      <c r="A844" s="32"/>
    </row>
    <row r="845">
      <c r="A845" s="32"/>
    </row>
    <row r="846">
      <c r="A846" s="32"/>
    </row>
    <row r="847">
      <c r="A847" s="32"/>
    </row>
    <row r="848">
      <c r="A848" s="32"/>
    </row>
    <row r="849">
      <c r="A849" s="32"/>
    </row>
    <row r="850">
      <c r="A850" s="32"/>
    </row>
    <row r="851">
      <c r="A851" s="32"/>
    </row>
    <row r="852">
      <c r="A852" s="32"/>
    </row>
    <row r="853">
      <c r="A853" s="32"/>
    </row>
    <row r="854">
      <c r="A854" s="32"/>
    </row>
    <row r="855">
      <c r="A855" s="32"/>
    </row>
    <row r="856">
      <c r="A856" s="32"/>
    </row>
    <row r="857">
      <c r="A857" s="32"/>
    </row>
    <row r="858">
      <c r="A858" s="32"/>
    </row>
    <row r="859">
      <c r="A859" s="32"/>
    </row>
    <row r="860">
      <c r="A860" s="32"/>
    </row>
    <row r="861">
      <c r="A861" s="32"/>
    </row>
    <row r="862">
      <c r="A862" s="32"/>
    </row>
    <row r="863">
      <c r="A863" s="32"/>
    </row>
    <row r="864">
      <c r="A864" s="32"/>
    </row>
    <row r="865">
      <c r="A865" s="32"/>
    </row>
    <row r="866">
      <c r="A866" s="32"/>
    </row>
    <row r="867">
      <c r="A867" s="32"/>
    </row>
    <row r="868">
      <c r="A868" s="32"/>
    </row>
    <row r="869">
      <c r="A869" s="32"/>
    </row>
    <row r="870">
      <c r="A870" s="32"/>
    </row>
    <row r="871">
      <c r="A871" s="32"/>
    </row>
    <row r="872">
      <c r="A872" s="32"/>
    </row>
    <row r="873">
      <c r="A873" s="32"/>
    </row>
    <row r="874">
      <c r="A874" s="32"/>
    </row>
    <row r="875">
      <c r="A875" s="32"/>
    </row>
    <row r="876">
      <c r="A876" s="32"/>
    </row>
    <row r="877">
      <c r="A877" s="32"/>
    </row>
    <row r="878">
      <c r="A878" s="32"/>
    </row>
    <row r="879">
      <c r="A879" s="32"/>
    </row>
    <row r="880">
      <c r="A880" s="32"/>
    </row>
    <row r="881">
      <c r="A881" s="32"/>
    </row>
    <row r="882">
      <c r="A882" s="32"/>
    </row>
    <row r="883">
      <c r="A883" s="32"/>
    </row>
    <row r="884">
      <c r="A884" s="32"/>
    </row>
    <row r="885">
      <c r="A885" s="32"/>
    </row>
    <row r="886">
      <c r="A886" s="32"/>
    </row>
    <row r="887">
      <c r="A887" s="32"/>
    </row>
    <row r="888">
      <c r="A888" s="32"/>
    </row>
    <row r="889">
      <c r="A889" s="32"/>
    </row>
    <row r="890">
      <c r="A890" s="32"/>
    </row>
    <row r="891">
      <c r="A891" s="32"/>
    </row>
    <row r="892">
      <c r="A892" s="32"/>
    </row>
    <row r="893">
      <c r="A893" s="32"/>
    </row>
    <row r="894">
      <c r="A894" s="32"/>
    </row>
    <row r="895">
      <c r="A895" s="32"/>
    </row>
    <row r="896">
      <c r="A896" s="32"/>
    </row>
    <row r="897">
      <c r="A897" s="32"/>
    </row>
    <row r="898">
      <c r="A898" s="32"/>
    </row>
    <row r="899">
      <c r="A899" s="32"/>
    </row>
    <row r="900">
      <c r="A900" s="32"/>
    </row>
    <row r="901">
      <c r="A901" s="32"/>
    </row>
    <row r="902">
      <c r="A902" s="32"/>
    </row>
    <row r="903">
      <c r="A903" s="32"/>
    </row>
    <row r="904">
      <c r="A904" s="32"/>
    </row>
    <row r="905">
      <c r="A905" s="32"/>
    </row>
    <row r="906">
      <c r="A906" s="32"/>
    </row>
    <row r="907">
      <c r="A907" s="32"/>
    </row>
    <row r="908">
      <c r="A908" s="32"/>
    </row>
    <row r="909">
      <c r="A909" s="32"/>
    </row>
    <row r="910">
      <c r="A910" s="32"/>
    </row>
    <row r="911">
      <c r="A911" s="32"/>
    </row>
    <row r="912">
      <c r="A912" s="32"/>
    </row>
    <row r="913">
      <c r="A913" s="32"/>
    </row>
    <row r="914">
      <c r="A914" s="32"/>
    </row>
    <row r="915">
      <c r="A915" s="32"/>
    </row>
    <row r="916">
      <c r="A916" s="32"/>
    </row>
    <row r="917">
      <c r="A917" s="32"/>
    </row>
    <row r="918">
      <c r="A918" s="32"/>
    </row>
    <row r="919">
      <c r="A919" s="32"/>
    </row>
    <row r="920">
      <c r="A920" s="32"/>
    </row>
    <row r="921">
      <c r="A921" s="32"/>
    </row>
    <row r="922">
      <c r="A922" s="32"/>
    </row>
    <row r="923">
      <c r="A923" s="32"/>
    </row>
    <row r="924">
      <c r="A924" s="32"/>
    </row>
    <row r="925">
      <c r="A925" s="32"/>
    </row>
    <row r="926">
      <c r="A926" s="32"/>
    </row>
    <row r="927">
      <c r="A927" s="32"/>
    </row>
    <row r="928">
      <c r="A928" s="32"/>
    </row>
    <row r="929">
      <c r="A929" s="32"/>
    </row>
    <row r="930">
      <c r="A930" s="32"/>
    </row>
    <row r="931">
      <c r="A931" s="32"/>
    </row>
    <row r="932">
      <c r="A932" s="32"/>
    </row>
    <row r="933">
      <c r="A933" s="32"/>
    </row>
    <row r="934">
      <c r="A934" s="32"/>
    </row>
    <row r="935">
      <c r="A935" s="32"/>
    </row>
    <row r="936">
      <c r="A936" s="32"/>
    </row>
    <row r="937">
      <c r="A937" s="32"/>
    </row>
    <row r="938">
      <c r="A938" s="32"/>
    </row>
    <row r="939">
      <c r="A939" s="32"/>
    </row>
    <row r="940">
      <c r="A940" s="32"/>
    </row>
    <row r="941">
      <c r="A941" s="32"/>
    </row>
    <row r="942">
      <c r="A942" s="32"/>
    </row>
    <row r="943">
      <c r="A943" s="32"/>
    </row>
    <row r="944">
      <c r="A944" s="32"/>
    </row>
    <row r="945">
      <c r="A945" s="32"/>
    </row>
    <row r="946">
      <c r="A946" s="32"/>
    </row>
    <row r="947">
      <c r="A947" s="32"/>
    </row>
    <row r="948">
      <c r="A948" s="32"/>
    </row>
    <row r="949">
      <c r="A949" s="32"/>
    </row>
    <row r="950">
      <c r="A950" s="32"/>
    </row>
    <row r="951">
      <c r="A951" s="32"/>
    </row>
    <row r="952">
      <c r="A952" s="32"/>
    </row>
    <row r="953">
      <c r="A953" s="32"/>
    </row>
    <row r="954">
      <c r="A954" s="32"/>
    </row>
    <row r="955">
      <c r="A955" s="32"/>
    </row>
    <row r="956">
      <c r="A956" s="32"/>
    </row>
    <row r="957">
      <c r="A957" s="32"/>
    </row>
    <row r="958">
      <c r="A958" s="32"/>
    </row>
    <row r="959">
      <c r="A959" s="32"/>
    </row>
    <row r="960">
      <c r="A960" s="32"/>
    </row>
    <row r="961">
      <c r="A961" s="32"/>
    </row>
    <row r="962">
      <c r="A962" s="32"/>
    </row>
    <row r="963">
      <c r="A963" s="32"/>
    </row>
    <row r="964">
      <c r="A964" s="32"/>
    </row>
    <row r="965">
      <c r="A965" s="32"/>
    </row>
    <row r="966">
      <c r="A966" s="32"/>
    </row>
    <row r="967">
      <c r="A967" s="32"/>
    </row>
    <row r="968">
      <c r="A968" s="32"/>
    </row>
    <row r="969">
      <c r="A969" s="32"/>
    </row>
    <row r="970">
      <c r="A970" s="32"/>
    </row>
    <row r="971">
      <c r="A971" s="32"/>
    </row>
    <row r="972">
      <c r="A972" s="32"/>
    </row>
    <row r="973">
      <c r="A973" s="32"/>
    </row>
    <row r="974">
      <c r="A974" s="32"/>
    </row>
    <row r="975">
      <c r="A975" s="32"/>
    </row>
    <row r="976">
      <c r="A976" s="32"/>
    </row>
    <row r="977">
      <c r="A977" s="32"/>
    </row>
    <row r="978">
      <c r="A978" s="32"/>
    </row>
    <row r="979">
      <c r="A979" s="32"/>
    </row>
    <row r="980">
      <c r="A980" s="32"/>
    </row>
    <row r="981">
      <c r="A981" s="32"/>
    </row>
    <row r="982">
      <c r="A982" s="32"/>
    </row>
    <row r="983">
      <c r="A983" s="32"/>
    </row>
    <row r="984">
      <c r="A984" s="32"/>
    </row>
    <row r="985">
      <c r="A985" s="32"/>
    </row>
    <row r="986">
      <c r="A986" s="32"/>
    </row>
    <row r="987">
      <c r="A987" s="32"/>
    </row>
    <row r="988">
      <c r="A988" s="32"/>
    </row>
    <row r="989">
      <c r="A989" s="32"/>
    </row>
    <row r="990">
      <c r="A990" s="32"/>
    </row>
    <row r="991">
      <c r="A991" s="32"/>
    </row>
    <row r="992">
      <c r="A992" s="32"/>
    </row>
    <row r="993">
      <c r="A993" s="32"/>
    </row>
    <row r="994">
      <c r="A994" s="32"/>
    </row>
    <row r="995">
      <c r="A995" s="32"/>
    </row>
    <row r="996">
      <c r="A996" s="32"/>
    </row>
    <row r="997">
      <c r="A997" s="32"/>
    </row>
    <row r="998">
      <c r="A998" s="32"/>
    </row>
    <row r="999">
      <c r="A999" s="32"/>
    </row>
    <row r="1000">
      <c r="A1000" s="3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s>
  <sheetData>
    <row r="1">
      <c r="A1" s="76" t="s">
        <v>33</v>
      </c>
      <c r="B1" s="77" t="s">
        <v>16</v>
      </c>
      <c r="C1" s="78" t="s">
        <v>17</v>
      </c>
      <c r="E1" s="92"/>
      <c r="F1" s="93" t="s">
        <v>34</v>
      </c>
      <c r="G1" s="94" t="s">
        <v>35</v>
      </c>
    </row>
    <row r="2">
      <c r="A2" s="82"/>
      <c r="B2" s="83"/>
      <c r="C2" s="83"/>
      <c r="E2" s="95" t="s">
        <v>24</v>
      </c>
      <c r="F2" s="96">
        <f t="shared" ref="F2:G2" si="1">AVERAGE(B:B)</f>
        <v>0.004540438598</v>
      </c>
      <c r="G2" s="97">
        <f t="shared" si="1"/>
        <v>0.002153754278</v>
      </c>
    </row>
    <row r="3">
      <c r="A3" s="87" t="s">
        <v>36</v>
      </c>
      <c r="B3" s="88">
        <v>0.006950942387381254</v>
      </c>
      <c r="C3" s="88">
        <v>0.01021935819826858</v>
      </c>
      <c r="E3" s="95" t="s">
        <v>25</v>
      </c>
      <c r="F3" s="98">
        <f t="shared" ref="F3:G3" si="2">AVEDEV(B:B)*56/55</f>
        <v>0.01599552981</v>
      </c>
      <c r="G3" s="98">
        <f t="shared" si="2"/>
        <v>0.02238000907</v>
      </c>
      <c r="H3" s="51" t="s">
        <v>125</v>
      </c>
    </row>
    <row r="4">
      <c r="A4" s="90" t="s">
        <v>37</v>
      </c>
      <c r="B4" s="88">
        <v>0.0264818880351263</v>
      </c>
      <c r="C4" s="88">
        <v>0.06259510305713079</v>
      </c>
      <c r="E4" s="95" t="s">
        <v>26</v>
      </c>
      <c r="F4" s="98">
        <f>_xlfn.VAR.S(B:B)</f>
        <v>0.0004154218419</v>
      </c>
      <c r="G4" s="98">
        <f>_xlfn.VAR.S(C2:C53)</f>
        <v>0.0007489774982</v>
      </c>
    </row>
    <row r="5">
      <c r="A5" s="90" t="s">
        <v>38</v>
      </c>
      <c r="B5" s="88">
        <v>0.03463940942646215</v>
      </c>
      <c r="C5" s="88">
        <v>-0.011891744122471182</v>
      </c>
      <c r="E5" s="95" t="s">
        <v>27</v>
      </c>
      <c r="F5" s="99">
        <f t="shared" ref="F5:G5" si="3">_xlfn.STDEV.S(B:B)</f>
        <v>0.02038189986</v>
      </c>
      <c r="G5" s="98">
        <f t="shared" si="3"/>
        <v>0.02809128189</v>
      </c>
    </row>
    <row r="6">
      <c r="A6" s="90" t="s">
        <v>39</v>
      </c>
      <c r="B6" s="88">
        <v>-9.927669834066677E-4</v>
      </c>
      <c r="C6" s="88">
        <v>0.04581516689300269</v>
      </c>
      <c r="E6" s="100" t="s">
        <v>94</v>
      </c>
      <c r="F6" s="101">
        <f t="shared" ref="F6:G6" si="4">F5/F2</f>
        <v>4.488971587</v>
      </c>
      <c r="G6" s="101">
        <f t="shared" si="4"/>
        <v>13.04293725</v>
      </c>
    </row>
    <row r="7">
      <c r="A7" s="90" t="s">
        <v>40</v>
      </c>
      <c r="B7" s="88">
        <v>0.02010995370370372</v>
      </c>
      <c r="C7" s="88">
        <v>-0.01631160795893971</v>
      </c>
      <c r="E7" s="119" t="s">
        <v>126</v>
      </c>
      <c r="F7" s="120">
        <v>3.96</v>
      </c>
    </row>
    <row r="8">
      <c r="A8" s="90" t="s">
        <v>41</v>
      </c>
      <c r="B8" s="88">
        <v>-0.010734220695577501</v>
      </c>
      <c r="C8" s="88">
        <v>-0.010780358881624763</v>
      </c>
    </row>
    <row r="9">
      <c r="A9" s="90" t="s">
        <v>43</v>
      </c>
      <c r="B9" s="88">
        <v>-0.002711961176134703</v>
      </c>
      <c r="C9" s="88">
        <v>-0.029562634989200864</v>
      </c>
      <c r="E9" s="51" t="s">
        <v>127</v>
      </c>
      <c r="F9" s="121">
        <f>F2-F7/F5</f>
        <v>-194.2854927</v>
      </c>
      <c r="G9" s="121">
        <f>G2-F7/G5</f>
        <v>-140.9668492</v>
      </c>
    </row>
    <row r="10">
      <c r="A10" s="90" t="s">
        <v>44</v>
      </c>
      <c r="B10" s="88">
        <v>-0.006522972206466138</v>
      </c>
      <c r="C10" s="88">
        <v>-0.0165283770328577</v>
      </c>
    </row>
    <row r="11">
      <c r="A11" s="90" t="s">
        <v>46</v>
      </c>
      <c r="B11" s="88"/>
      <c r="C11" s="88"/>
    </row>
    <row r="12">
      <c r="A12" s="90" t="s">
        <v>47</v>
      </c>
      <c r="B12" s="88"/>
      <c r="C12" s="88"/>
    </row>
    <row r="13">
      <c r="A13" s="90" t="s">
        <v>49</v>
      </c>
      <c r="B13" s="88">
        <v>-0.04269384382316477</v>
      </c>
      <c r="C13" s="88">
        <v>-0.02498302783435169</v>
      </c>
    </row>
    <row r="14">
      <c r="A14" s="90" t="s">
        <v>50</v>
      </c>
      <c r="B14" s="88">
        <v>0.0023467697404748744</v>
      </c>
      <c r="C14" s="88">
        <v>0.016492995652473974</v>
      </c>
    </row>
    <row r="15">
      <c r="A15" s="90" t="s">
        <v>51</v>
      </c>
      <c r="B15" s="88">
        <v>0.025191055759977266</v>
      </c>
      <c r="C15" s="88">
        <v>0.003253946275270092</v>
      </c>
    </row>
    <row r="16">
      <c r="A16" s="90" t="s">
        <v>52</v>
      </c>
      <c r="B16" s="88">
        <v>0.008564087924636032</v>
      </c>
      <c r="C16" s="88">
        <v>0.020272656636292963</v>
      </c>
    </row>
    <row r="17">
      <c r="A17" s="90" t="s">
        <v>53</v>
      </c>
      <c r="B17" s="88">
        <v>0.0239695995323006</v>
      </c>
      <c r="C17" s="88">
        <v>-0.021428077694062297</v>
      </c>
    </row>
    <row r="18">
      <c r="A18" s="90" t="s">
        <v>54</v>
      </c>
      <c r="B18" s="88">
        <v>-0.011557353366079104</v>
      </c>
      <c r="C18" s="88">
        <v>-0.03604744136460569</v>
      </c>
    </row>
    <row r="19">
      <c r="A19" s="90" t="s">
        <v>55</v>
      </c>
      <c r="B19" s="88">
        <v>0.018540317834019993</v>
      </c>
      <c r="C19" s="88">
        <v>-0.014058599395611493</v>
      </c>
    </row>
    <row r="20">
      <c r="A20" s="90" t="s">
        <v>56</v>
      </c>
      <c r="B20" s="88">
        <v>0.02088027640078116</v>
      </c>
      <c r="C20" s="88">
        <v>0.024153939312386408</v>
      </c>
    </row>
    <row r="21">
      <c r="A21" s="90" t="s">
        <v>57</v>
      </c>
      <c r="B21" s="88">
        <v>0.005741048496751722</v>
      </c>
      <c r="C21" s="88">
        <v>0.057112375533428184</v>
      </c>
    </row>
    <row r="22">
      <c r="A22" s="90" t="s">
        <v>58</v>
      </c>
      <c r="B22" s="88">
        <v>0.015028369881920023</v>
      </c>
      <c r="C22" s="88">
        <v>0.01092896174863367</v>
      </c>
    </row>
    <row r="23">
      <c r="A23" s="90" t="s">
        <v>59</v>
      </c>
      <c r="B23" s="88"/>
      <c r="C23" s="88">
        <v>-0.009331148942232192</v>
      </c>
    </row>
    <row r="24">
      <c r="A24" s="90" t="s">
        <v>60</v>
      </c>
      <c r="B24" s="88"/>
      <c r="C24" s="88">
        <v>-0.012311805262417375</v>
      </c>
    </row>
    <row r="25">
      <c r="A25" s="90" t="s">
        <v>61</v>
      </c>
      <c r="B25" s="88">
        <v>-0.008782556026650679</v>
      </c>
      <c r="C25" s="88"/>
    </row>
    <row r="26">
      <c r="A26" s="90" t="s">
        <v>62</v>
      </c>
      <c r="B26" s="88">
        <v>-0.013886814991787233</v>
      </c>
      <c r="C26" s="88"/>
    </row>
    <row r="27">
      <c r="A27" s="90" t="s">
        <v>63</v>
      </c>
      <c r="B27" s="88">
        <v>-0.015002206206795043</v>
      </c>
      <c r="C27" s="88">
        <v>-0.015159829880642128</v>
      </c>
    </row>
    <row r="28">
      <c r="A28" s="90" t="s">
        <v>64</v>
      </c>
      <c r="B28" s="88">
        <v>-0.016206048328751277</v>
      </c>
      <c r="C28" s="88">
        <v>-0.006609880749574137</v>
      </c>
    </row>
    <row r="29">
      <c r="A29" s="90" t="s">
        <v>65</v>
      </c>
      <c r="B29" s="88">
        <v>0.003047895500725595</v>
      </c>
      <c r="C29" s="88">
        <v>-0.005084745762711895</v>
      </c>
    </row>
    <row r="30">
      <c r="A30" s="90" t="s">
        <v>66</v>
      </c>
      <c r="B30" s="88">
        <v>-0.006058857472590717</v>
      </c>
      <c r="C30" s="88">
        <v>0.035741872059546376</v>
      </c>
    </row>
    <row r="31">
      <c r="A31" s="90" t="s">
        <v>67</v>
      </c>
      <c r="B31" s="88">
        <v>0.02151488358384901</v>
      </c>
      <c r="C31" s="88">
        <v>0.04260926861410064</v>
      </c>
    </row>
    <row r="32">
      <c r="A32" s="90" t="s">
        <v>68</v>
      </c>
      <c r="B32" s="88">
        <v>-0.004401408450704136</v>
      </c>
      <c r="C32" s="88">
        <v>-0.029073073642308822</v>
      </c>
    </row>
    <row r="33">
      <c r="A33" s="90" t="s">
        <v>69</v>
      </c>
      <c r="B33" s="88">
        <v>-0.009734127560656725</v>
      </c>
      <c r="C33" s="88">
        <v>0.0014236902050115408</v>
      </c>
    </row>
    <row r="34">
      <c r="A34" s="90" t="s">
        <v>70</v>
      </c>
      <c r="B34" s="88">
        <v>-2.904865649963062E-4</v>
      </c>
      <c r="C34" s="88">
        <v>0.05902751601960032</v>
      </c>
    </row>
    <row r="35">
      <c r="A35" s="90" t="s">
        <v>71</v>
      </c>
      <c r="B35" s="88">
        <v>-0.020765182762053858</v>
      </c>
      <c r="C35" s="88">
        <v>-9.038186337275711E-4</v>
      </c>
    </row>
    <row r="36">
      <c r="A36" s="90" t="s">
        <v>72</v>
      </c>
      <c r="B36" s="88">
        <v>0.014427932477276029</v>
      </c>
      <c r="C36" s="88">
        <v>0.03314917127071837</v>
      </c>
    </row>
    <row r="37">
      <c r="A37" s="90" t="s">
        <v>73</v>
      </c>
      <c r="B37" s="88">
        <v>0.02166863207547176</v>
      </c>
      <c r="C37" s="88">
        <v>0.015247274450939985</v>
      </c>
    </row>
    <row r="38">
      <c r="A38" s="90" t="s">
        <v>74</v>
      </c>
      <c r="B38" s="88"/>
      <c r="C38" s="88">
        <v>-0.013636717836827073</v>
      </c>
    </row>
    <row r="39">
      <c r="A39" s="90" t="s">
        <v>75</v>
      </c>
      <c r="B39" s="88"/>
      <c r="C39" s="88"/>
    </row>
    <row r="40">
      <c r="A40" s="90" t="s">
        <v>76</v>
      </c>
      <c r="B40" s="88">
        <v>-0.004726439415640216</v>
      </c>
      <c r="C40" s="88"/>
    </row>
    <row r="41">
      <c r="A41" s="90" t="s">
        <v>77</v>
      </c>
      <c r="B41" s="88">
        <v>-0.01034727143869607</v>
      </c>
      <c r="C41" s="88">
        <v>-0.010821831869510579</v>
      </c>
    </row>
    <row r="42">
      <c r="A42" s="90" t="s">
        <v>78</v>
      </c>
      <c r="B42" s="88">
        <v>0.0045564573544067954</v>
      </c>
      <c r="C42" s="88">
        <v>0.016338566988124636</v>
      </c>
    </row>
    <row r="43">
      <c r="A43" s="90" t="s">
        <v>79</v>
      </c>
      <c r="B43" s="88">
        <v>-0.0031227821149751867</v>
      </c>
      <c r="C43" s="88">
        <v>-0.019995313598375364</v>
      </c>
    </row>
    <row r="44">
      <c r="A44" s="90" t="s">
        <v>80</v>
      </c>
      <c r="B44" s="88">
        <v>0.021014492753623326</v>
      </c>
      <c r="C44" s="88">
        <v>0.011774932827564255</v>
      </c>
    </row>
    <row r="45">
      <c r="A45" s="90" t="s">
        <v>81</v>
      </c>
      <c r="B45" s="88">
        <v>-0.015832263585793704</v>
      </c>
      <c r="C45" s="88">
        <v>-0.024739884393063516</v>
      </c>
    </row>
    <row r="46">
      <c r="A46" s="90" t="s">
        <v>82</v>
      </c>
      <c r="B46" s="88">
        <v>-0.0035531552018192025</v>
      </c>
      <c r="C46" s="88">
        <v>0.002782286111755239</v>
      </c>
    </row>
    <row r="47">
      <c r="A47" s="90" t="s">
        <v>83</v>
      </c>
      <c r="B47" s="88">
        <v>-0.014979700405991947</v>
      </c>
      <c r="C47" s="88">
        <v>-0.06624810565057382</v>
      </c>
    </row>
    <row r="48">
      <c r="A48" s="90" t="s">
        <v>84</v>
      </c>
      <c r="B48" s="88">
        <v>0.02203462584060678</v>
      </c>
      <c r="C48" s="88">
        <v>-0.010991363928342213</v>
      </c>
    </row>
    <row r="49">
      <c r="A49" s="90" t="s">
        <v>85</v>
      </c>
      <c r="B49" s="88">
        <v>0.021335671489112862</v>
      </c>
      <c r="C49" s="88">
        <v>-0.01483616931514542</v>
      </c>
    </row>
    <row r="50">
      <c r="A50" s="90" t="s">
        <v>86</v>
      </c>
      <c r="B50" s="88">
        <v>-0.006244554167876726</v>
      </c>
      <c r="C50" s="88">
        <v>-0.017817679558011168</v>
      </c>
    </row>
    <row r="51">
      <c r="A51" s="90" t="s">
        <v>87</v>
      </c>
      <c r="B51" s="88">
        <v>0.02485488912040479</v>
      </c>
      <c r="C51" s="88">
        <v>0.02622253720765433</v>
      </c>
    </row>
    <row r="52">
      <c r="A52" s="90" t="s">
        <v>88</v>
      </c>
      <c r="B52" s="88"/>
      <c r="C52" s="88">
        <v>-0.02109060635493265</v>
      </c>
    </row>
    <row r="53">
      <c r="A53" s="90" t="s">
        <v>89</v>
      </c>
      <c r="B53" s="88"/>
      <c r="C53" s="88"/>
    </row>
    <row r="54">
      <c r="A54" s="90" t="s">
        <v>90</v>
      </c>
      <c r="B54" s="88">
        <v>-0.031709426347650504</v>
      </c>
      <c r="C54" s="88"/>
    </row>
    <row r="55">
      <c r="A55" s="90" t="s">
        <v>91</v>
      </c>
      <c r="B55" s="88">
        <v>0.00303599826514378</v>
      </c>
      <c r="C55" s="88">
        <v>0.006369858372297976</v>
      </c>
    </row>
    <row r="56">
      <c r="A56" s="90" t="s">
        <v>92</v>
      </c>
      <c r="B56" s="88">
        <v>-0.002019910546818604</v>
      </c>
      <c r="C56" s="88">
        <v>-2.032520325203624E-4</v>
      </c>
    </row>
    <row r="57">
      <c r="A57" s="90" t="s">
        <v>93</v>
      </c>
      <c r="B57" s="88">
        <v>0.03602391629297452</v>
      </c>
      <c r="C57" s="88">
        <v>0.07049608355091386</v>
      </c>
    </row>
    <row r="58">
      <c r="A58" s="90">
        <v>56.0</v>
      </c>
      <c r="B58" s="88">
        <v>0.07885824866956948</v>
      </c>
      <c r="C58" s="88">
        <v>-0.008200258955546103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2" t="s">
        <v>128</v>
      </c>
    </row>
    <row r="2">
      <c r="A2" s="123" t="s">
        <v>129</v>
      </c>
    </row>
    <row r="6" ht="1.5" customHeight="1"/>
    <row r="7">
      <c r="A7" s="123" t="s">
        <v>130</v>
      </c>
    </row>
    <row r="8" ht="1.5" customHeight="1"/>
    <row r="9" ht="10.5" customHeight="1"/>
    <row r="11" ht="1.5" customHeight="1"/>
    <row r="13" ht="1.5" customHeight="1"/>
    <row r="14">
      <c r="A14" s="123" t="s">
        <v>131</v>
      </c>
    </row>
    <row r="20">
      <c r="A20" s="123" t="s">
        <v>132</v>
      </c>
    </row>
    <row r="25">
      <c r="A25" s="123" t="s">
        <v>133</v>
      </c>
    </row>
  </sheetData>
  <mergeCells count="5">
    <mergeCell ref="A2:I6"/>
    <mergeCell ref="A7:I13"/>
    <mergeCell ref="A14:I19"/>
    <mergeCell ref="A20:I24"/>
    <mergeCell ref="A25:I2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ht="57.0" customHeight="1">
      <c r="A1" s="124">
        <f>sum(A3:A13)</f>
        <v>6</v>
      </c>
      <c r="B1" s="72" t="s">
        <v>1</v>
      </c>
      <c r="C1" s="125" t="s">
        <v>134</v>
      </c>
      <c r="D1" s="126" t="s">
        <v>135</v>
      </c>
      <c r="E1" s="51" t="s">
        <v>136</v>
      </c>
    </row>
    <row r="2" ht="60.75" customHeight="1">
      <c r="A2" s="127" t="s">
        <v>137</v>
      </c>
      <c r="B2" s="72">
        <v>46055.0</v>
      </c>
      <c r="C2" s="105" t="str">
        <f>vlookup(B2,'2. returns'!A:E,5,0)</f>
        <v/>
      </c>
      <c r="D2" s="73"/>
    </row>
    <row r="3" ht="57.75" customHeight="1">
      <c r="A3" s="128"/>
      <c r="B3" s="72">
        <f t="shared" ref="B3:B54" si="1">B2-7</f>
        <v>46048</v>
      </c>
      <c r="C3" s="55">
        <f>vlookup(B3,'2. returns'!A:E,5,0)</f>
        <v>0.006950942387</v>
      </c>
      <c r="D3" s="73"/>
    </row>
    <row r="4" ht="51.75" customHeight="1">
      <c r="A4" s="129">
        <v>1.0</v>
      </c>
      <c r="B4" s="72">
        <f t="shared" si="1"/>
        <v>46041</v>
      </c>
      <c r="C4" s="55">
        <f>vlookup(B4,'2. returns'!A:E,5,0)</f>
        <v>0.02648188804</v>
      </c>
      <c r="D4" s="73"/>
    </row>
    <row r="5" ht="50.25" customHeight="1">
      <c r="A5" s="129">
        <v>1.0</v>
      </c>
      <c r="B5" s="72">
        <f t="shared" si="1"/>
        <v>46034</v>
      </c>
      <c r="C5" s="55">
        <f>vlookup(B5,'2. returns'!A:E,5,0)</f>
        <v>0.03463940943</v>
      </c>
      <c r="D5" s="73"/>
    </row>
    <row r="6" ht="54.75" customHeight="1">
      <c r="A6" s="129">
        <v>1.0</v>
      </c>
      <c r="B6" s="72">
        <f t="shared" si="1"/>
        <v>46027</v>
      </c>
      <c r="C6" s="55">
        <f>vlookup(B6,'2. returns'!A:E,5,0)</f>
        <v>-0.0009927669834</v>
      </c>
      <c r="D6" s="73"/>
    </row>
    <row r="7" ht="54.0" customHeight="1">
      <c r="A7" s="129">
        <v>1.0</v>
      </c>
      <c r="B7" s="72">
        <f t="shared" si="1"/>
        <v>46020</v>
      </c>
      <c r="C7" s="55">
        <f>vlookup(B7,'2. returns'!A:E,5,0)</f>
        <v>0.0201099537</v>
      </c>
      <c r="D7" s="73"/>
    </row>
    <row r="8" ht="15.75" customHeight="1">
      <c r="A8" s="129">
        <v>1.0</v>
      </c>
      <c r="B8" s="72">
        <f t="shared" si="1"/>
        <v>46013</v>
      </c>
      <c r="C8" s="55">
        <f>vlookup(B8,'2. returns'!A:E,5,0)</f>
        <v>-0.0107342207</v>
      </c>
      <c r="D8" s="73"/>
    </row>
    <row r="9" ht="14.25" customHeight="1">
      <c r="A9" s="129">
        <v>1.0</v>
      </c>
      <c r="B9" s="72">
        <f t="shared" si="1"/>
        <v>46006</v>
      </c>
      <c r="C9" s="55">
        <f>vlookup(B9,'2. returns'!A:E,5,0)</f>
        <v>-0.002711961176</v>
      </c>
      <c r="D9" s="73"/>
    </row>
    <row r="10">
      <c r="B10" s="72">
        <f t="shared" si="1"/>
        <v>45999</v>
      </c>
      <c r="C10" s="55">
        <f>vlookup(B10,'2. returns'!A:E,5,0)</f>
        <v>-0.006522972206</v>
      </c>
      <c r="D10" s="73"/>
    </row>
    <row r="11">
      <c r="B11" s="72">
        <f t="shared" si="1"/>
        <v>45992</v>
      </c>
      <c r="C11" s="55" t="str">
        <f>vlookup(B11,'2. returns'!A:E,5,0)</f>
        <v/>
      </c>
      <c r="D11" s="73"/>
    </row>
    <row r="12">
      <c r="B12" s="72">
        <f t="shared" si="1"/>
        <v>45985</v>
      </c>
      <c r="C12" s="55">
        <f>vlookup(B12,'2. returns'!A:E,5,0)</f>
        <v>-0.04269384382</v>
      </c>
      <c r="D12" s="73"/>
    </row>
    <row r="13">
      <c r="B13" s="72">
        <f t="shared" si="1"/>
        <v>45978</v>
      </c>
      <c r="C13" s="55">
        <f>vlookup(B13,'2. returns'!A:E,5,0)</f>
        <v>0.00234676974</v>
      </c>
      <c r="D13" s="73"/>
    </row>
    <row r="14">
      <c r="B14" s="72">
        <f t="shared" si="1"/>
        <v>45971</v>
      </c>
      <c r="C14" s="55">
        <f>vlookup(B14,'2. returns'!A:E,5,0)</f>
        <v>0.02519105576</v>
      </c>
      <c r="D14" s="73"/>
    </row>
    <row r="15">
      <c r="B15" s="72">
        <f t="shared" si="1"/>
        <v>45964</v>
      </c>
      <c r="C15" s="55">
        <f>vlookup(B15,'2. returns'!A:E,5,0)</f>
        <v>0.008564087925</v>
      </c>
      <c r="D15" s="73"/>
    </row>
    <row r="16">
      <c r="B16" s="72">
        <f t="shared" si="1"/>
        <v>45957</v>
      </c>
      <c r="C16" s="55">
        <f>vlookup(B16,'2. returns'!A:E,5,0)</f>
        <v>0.02396959953</v>
      </c>
      <c r="D16" s="73"/>
    </row>
    <row r="17">
      <c r="B17" s="72">
        <f t="shared" si="1"/>
        <v>45950</v>
      </c>
      <c r="C17" s="55">
        <f>vlookup(B17,'2. returns'!A:E,5,0)</f>
        <v>-0.01155735337</v>
      </c>
      <c r="D17" s="73"/>
    </row>
    <row r="18">
      <c r="B18" s="72">
        <f t="shared" si="1"/>
        <v>45943</v>
      </c>
      <c r="C18" s="55">
        <f>vlookup(B18,'2. returns'!A:E,5,0)</f>
        <v>0.01854031783</v>
      </c>
      <c r="D18" s="73"/>
    </row>
    <row r="19">
      <c r="B19" s="72">
        <f t="shared" si="1"/>
        <v>45936</v>
      </c>
      <c r="C19" s="55">
        <f>vlookup(B19,'2. returns'!A:E,5,0)</f>
        <v>0.0208802764</v>
      </c>
      <c r="D19" s="73"/>
    </row>
    <row r="20">
      <c r="B20" s="72">
        <f t="shared" si="1"/>
        <v>45929</v>
      </c>
      <c r="C20" s="55">
        <f>vlookup(B20,'2. returns'!A:E,5,0)</f>
        <v>0.005741048497</v>
      </c>
      <c r="D20" s="73"/>
    </row>
    <row r="21">
      <c r="B21" s="72">
        <f t="shared" si="1"/>
        <v>45922</v>
      </c>
      <c r="C21" s="55">
        <f>vlookup(B21,'2. returns'!A:E,5,0)</f>
        <v>0.01502836988</v>
      </c>
      <c r="D21" s="73"/>
    </row>
    <row r="22">
      <c r="B22" s="72">
        <f t="shared" si="1"/>
        <v>45915</v>
      </c>
      <c r="C22" s="55" t="str">
        <f>vlookup(B22,'2. returns'!A:E,5,0)</f>
        <v/>
      </c>
      <c r="D22" s="73"/>
    </row>
    <row r="23">
      <c r="B23" s="72">
        <f t="shared" si="1"/>
        <v>45908</v>
      </c>
      <c r="C23" s="55">
        <f>vlookup(B23,'2. returns'!A:E,5,0)</f>
        <v>-0.008782556027</v>
      </c>
      <c r="D23" s="73"/>
    </row>
    <row r="24">
      <c r="B24" s="72">
        <f t="shared" si="1"/>
        <v>45901</v>
      </c>
      <c r="D24" s="73"/>
    </row>
    <row r="25">
      <c r="B25" s="72">
        <f t="shared" si="1"/>
        <v>45894</v>
      </c>
      <c r="D25" s="73"/>
    </row>
    <row r="26">
      <c r="B26" s="72">
        <f t="shared" si="1"/>
        <v>45887</v>
      </c>
      <c r="D26" s="73"/>
    </row>
    <row r="27">
      <c r="B27" s="72">
        <f t="shared" si="1"/>
        <v>45880</v>
      </c>
      <c r="D27" s="73"/>
    </row>
    <row r="28">
      <c r="B28" s="72">
        <f t="shared" si="1"/>
        <v>45873</v>
      </c>
      <c r="D28" s="73"/>
    </row>
    <row r="29">
      <c r="B29" s="72">
        <f t="shared" si="1"/>
        <v>45866</v>
      </c>
      <c r="D29" s="73"/>
    </row>
    <row r="30">
      <c r="B30" s="72">
        <f t="shared" si="1"/>
        <v>45859</v>
      </c>
      <c r="D30" s="73"/>
    </row>
    <row r="31">
      <c r="B31" s="72">
        <f t="shared" si="1"/>
        <v>45852</v>
      </c>
      <c r="D31" s="73"/>
    </row>
    <row r="32">
      <c r="B32" s="72">
        <f t="shared" si="1"/>
        <v>45845</v>
      </c>
      <c r="D32" s="73"/>
    </row>
    <row r="33">
      <c r="B33" s="72">
        <f t="shared" si="1"/>
        <v>45838</v>
      </c>
      <c r="D33" s="73"/>
    </row>
    <row r="34">
      <c r="B34" s="72">
        <f t="shared" si="1"/>
        <v>45831</v>
      </c>
      <c r="D34" s="73"/>
    </row>
    <row r="35">
      <c r="B35" s="72">
        <f t="shared" si="1"/>
        <v>45824</v>
      </c>
      <c r="D35" s="73"/>
    </row>
    <row r="36">
      <c r="B36" s="72">
        <f t="shared" si="1"/>
        <v>45817</v>
      </c>
      <c r="D36" s="73"/>
    </row>
    <row r="37">
      <c r="B37" s="72">
        <f t="shared" si="1"/>
        <v>45810</v>
      </c>
      <c r="D37" s="73"/>
    </row>
    <row r="38">
      <c r="B38" s="72">
        <f t="shared" si="1"/>
        <v>45803</v>
      </c>
      <c r="D38" s="73"/>
    </row>
    <row r="39">
      <c r="B39" s="72">
        <f t="shared" si="1"/>
        <v>45796</v>
      </c>
      <c r="D39" s="73"/>
    </row>
    <row r="40">
      <c r="B40" s="72">
        <f t="shared" si="1"/>
        <v>45789</v>
      </c>
      <c r="D40" s="73"/>
    </row>
    <row r="41">
      <c r="B41" s="72">
        <f t="shared" si="1"/>
        <v>45782</v>
      </c>
      <c r="D41" s="73"/>
    </row>
    <row r="42">
      <c r="B42" s="72">
        <f t="shared" si="1"/>
        <v>45775</v>
      </c>
      <c r="D42" s="73"/>
    </row>
    <row r="43">
      <c r="B43" s="72">
        <f t="shared" si="1"/>
        <v>45768</v>
      </c>
      <c r="D43" s="73"/>
    </row>
    <row r="44">
      <c r="B44" s="72">
        <f t="shared" si="1"/>
        <v>45761</v>
      </c>
      <c r="D44" s="73"/>
    </row>
    <row r="45">
      <c r="B45" s="72">
        <f t="shared" si="1"/>
        <v>45754</v>
      </c>
      <c r="D45" s="73"/>
    </row>
    <row r="46">
      <c r="B46" s="72">
        <f t="shared" si="1"/>
        <v>45747</v>
      </c>
      <c r="D46" s="73"/>
    </row>
    <row r="47">
      <c r="B47" s="72">
        <f t="shared" si="1"/>
        <v>45740</v>
      </c>
      <c r="D47" s="73"/>
    </row>
    <row r="48">
      <c r="B48" s="72">
        <f t="shared" si="1"/>
        <v>45733</v>
      </c>
      <c r="D48" s="73"/>
    </row>
    <row r="49">
      <c r="B49" s="72">
        <f t="shared" si="1"/>
        <v>45726</v>
      </c>
      <c r="D49" s="73"/>
    </row>
    <row r="50">
      <c r="B50" s="72">
        <f t="shared" si="1"/>
        <v>45719</v>
      </c>
      <c r="D50" s="73"/>
    </row>
    <row r="51">
      <c r="B51" s="72">
        <f t="shared" si="1"/>
        <v>45712</v>
      </c>
      <c r="D51" s="73"/>
    </row>
    <row r="52">
      <c r="B52" s="72">
        <f t="shared" si="1"/>
        <v>45705</v>
      </c>
      <c r="D52" s="73"/>
    </row>
    <row r="53">
      <c r="B53" s="72">
        <f t="shared" si="1"/>
        <v>45698</v>
      </c>
      <c r="D53" s="73"/>
    </row>
    <row r="54">
      <c r="B54" s="72">
        <f t="shared" si="1"/>
        <v>45691</v>
      </c>
      <c r="D54" s="73"/>
    </row>
  </sheetData>
  <mergeCells count="1">
    <mergeCell ref="A2:A3"/>
  </mergeCells>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4">
        <f>sum(A3:A13)</f>
        <v>6</v>
      </c>
      <c r="B1" s="72" t="s">
        <v>1</v>
      </c>
      <c r="C1" s="125" t="s">
        <v>134</v>
      </c>
      <c r="D1" s="130" t="s">
        <v>136</v>
      </c>
      <c r="E1" s="125" t="s">
        <v>138</v>
      </c>
      <c r="F1" s="118" t="s">
        <v>136</v>
      </c>
      <c r="G1" s="77" t="s">
        <v>16</v>
      </c>
      <c r="H1" s="78" t="s">
        <v>17</v>
      </c>
      <c r="L1" s="32"/>
    </row>
    <row r="2">
      <c r="A2" s="127" t="s">
        <v>137</v>
      </c>
      <c r="B2" s="72">
        <v>46055.0</v>
      </c>
      <c r="C2" s="131"/>
      <c r="D2" s="132"/>
      <c r="F2" s="132"/>
      <c r="G2" s="83"/>
      <c r="H2" s="83"/>
      <c r="L2" s="133" t="s">
        <v>1</v>
      </c>
      <c r="M2" s="9" t="s">
        <v>2</v>
      </c>
      <c r="N2" s="9" t="s">
        <v>3</v>
      </c>
      <c r="O2" s="9" t="s">
        <v>4</v>
      </c>
      <c r="P2" s="9" t="s">
        <v>5</v>
      </c>
      <c r="Q2" s="9" t="s">
        <v>6</v>
      </c>
      <c r="R2" s="9" t="s">
        <v>7</v>
      </c>
    </row>
    <row r="3">
      <c r="A3" s="128"/>
      <c r="B3" s="72">
        <f t="shared" ref="B3:B50" si="1">B2-7</f>
        <v>46048</v>
      </c>
      <c r="C3" s="100" t="s">
        <v>139</v>
      </c>
      <c r="D3" s="118">
        <v>6939.03</v>
      </c>
      <c r="E3" s="100" t="s">
        <v>140</v>
      </c>
      <c r="F3" s="15">
        <v>6939.03</v>
      </c>
      <c r="G3" s="88">
        <v>0.006950942387381254</v>
      </c>
      <c r="H3" s="88">
        <v>0.01021935819826858</v>
      </c>
      <c r="L3" s="52">
        <v>46048.0</v>
      </c>
      <c r="M3" s="134">
        <v>6923.23</v>
      </c>
      <c r="N3" s="134">
        <v>7002.28</v>
      </c>
      <c r="O3" s="134">
        <v>6870.8</v>
      </c>
      <c r="P3" s="134">
        <v>6939.03</v>
      </c>
      <c r="Q3" s="134">
        <v>6939.03</v>
      </c>
      <c r="R3" s="15">
        <v>2.938256E10</v>
      </c>
    </row>
    <row r="4">
      <c r="A4" s="129">
        <v>1.0</v>
      </c>
      <c r="B4" s="72">
        <f t="shared" si="1"/>
        <v>46041</v>
      </c>
      <c r="C4" s="100" t="s">
        <v>141</v>
      </c>
      <c r="D4" s="118">
        <v>6915.61</v>
      </c>
      <c r="E4" s="100" t="s">
        <v>142</v>
      </c>
      <c r="F4" s="18">
        <v>6915.61</v>
      </c>
      <c r="G4" s="88">
        <v>0.0264818880351263</v>
      </c>
      <c r="H4" s="88">
        <v>0.06259510305713079</v>
      </c>
      <c r="L4" s="56">
        <v>46041.0</v>
      </c>
      <c r="M4" s="135">
        <v>6865.24</v>
      </c>
      <c r="N4" s="135">
        <v>6934.75</v>
      </c>
      <c r="O4" s="135">
        <v>6789.05</v>
      </c>
      <c r="P4" s="135">
        <v>6915.61</v>
      </c>
      <c r="Q4" s="135">
        <v>6915.61</v>
      </c>
      <c r="R4" s="18">
        <v>2.178453E10</v>
      </c>
    </row>
    <row r="5">
      <c r="A5" s="129">
        <v>1.0</v>
      </c>
      <c r="B5" s="72">
        <f t="shared" si="1"/>
        <v>46034</v>
      </c>
      <c r="C5" s="100" t="s">
        <v>143</v>
      </c>
      <c r="D5" s="118">
        <v>6940.01</v>
      </c>
      <c r="E5" s="100" t="s">
        <v>144</v>
      </c>
      <c r="F5" s="15">
        <v>6940.01</v>
      </c>
      <c r="G5" s="88">
        <v>0.03463940942646215</v>
      </c>
      <c r="H5" s="88">
        <v>-0.011891744122471182</v>
      </c>
      <c r="L5" s="52">
        <v>46034.0</v>
      </c>
      <c r="M5" s="134">
        <v>6944.12</v>
      </c>
      <c r="N5" s="134">
        <v>6986.33</v>
      </c>
      <c r="O5" s="134">
        <v>6885.74</v>
      </c>
      <c r="P5" s="134">
        <v>6940.01</v>
      </c>
      <c r="Q5" s="134">
        <v>6940.01</v>
      </c>
      <c r="R5" s="15">
        <v>2.61122E10</v>
      </c>
    </row>
    <row r="6">
      <c r="A6" s="129">
        <v>1.0</v>
      </c>
      <c r="B6" s="72">
        <f t="shared" si="1"/>
        <v>46027</v>
      </c>
      <c r="C6" s="100" t="s">
        <v>145</v>
      </c>
      <c r="D6" s="118">
        <v>6966.28</v>
      </c>
      <c r="E6" s="100" t="s">
        <v>146</v>
      </c>
      <c r="F6" s="18">
        <v>6966.28</v>
      </c>
      <c r="G6" s="88">
        <v>-9.927669834066677E-4</v>
      </c>
      <c r="H6" s="88">
        <v>0.04581516689300269</v>
      </c>
      <c r="L6" s="56">
        <v>46027.0</v>
      </c>
      <c r="M6" s="135">
        <v>6892.19</v>
      </c>
      <c r="N6" s="135">
        <v>6978.36</v>
      </c>
      <c r="O6" s="135">
        <v>6891.56</v>
      </c>
      <c r="P6" s="135">
        <v>6966.28</v>
      </c>
      <c r="Q6" s="135">
        <v>6966.28</v>
      </c>
      <c r="R6" s="18">
        <v>2.699319E10</v>
      </c>
    </row>
    <row r="7">
      <c r="A7" s="129">
        <v>1.0</v>
      </c>
      <c r="B7" s="72">
        <f t="shared" si="1"/>
        <v>46020</v>
      </c>
      <c r="C7" s="100" t="s">
        <v>147</v>
      </c>
      <c r="D7" s="118">
        <v>6858.47</v>
      </c>
      <c r="E7" s="100" t="s">
        <v>148</v>
      </c>
      <c r="F7" s="15">
        <v>6858.47</v>
      </c>
      <c r="G7" s="88">
        <v>0.02010995370370372</v>
      </c>
      <c r="H7" s="88">
        <v>-0.01631160795893971</v>
      </c>
      <c r="L7" s="52">
        <v>46020.0</v>
      </c>
      <c r="M7" s="134">
        <v>6903.6</v>
      </c>
      <c r="N7" s="134">
        <v>6920.21</v>
      </c>
      <c r="O7" s="134">
        <v>6824.31</v>
      </c>
      <c r="P7" s="134">
        <v>6858.47</v>
      </c>
      <c r="Q7" s="134">
        <v>6858.47</v>
      </c>
      <c r="R7" s="15">
        <v>1.429763E10</v>
      </c>
    </row>
    <row r="8">
      <c r="A8" s="129">
        <v>1.0</v>
      </c>
      <c r="B8" s="72">
        <f t="shared" si="1"/>
        <v>46013</v>
      </c>
      <c r="C8" s="100" t="s">
        <v>149</v>
      </c>
      <c r="D8" s="118">
        <v>6929.94</v>
      </c>
      <c r="E8" s="100" t="s">
        <v>150</v>
      </c>
      <c r="F8" s="18">
        <v>6929.94</v>
      </c>
      <c r="G8" s="88">
        <v>-0.010734220695577501</v>
      </c>
      <c r="H8" s="88">
        <v>-0.010780358881624763</v>
      </c>
      <c r="L8" s="56">
        <v>46013.0</v>
      </c>
      <c r="M8" s="135">
        <v>6865.21</v>
      </c>
      <c r="N8" s="135">
        <v>6945.77</v>
      </c>
      <c r="O8" s="135">
        <v>6855.74</v>
      </c>
      <c r="P8" s="135">
        <v>6929.94</v>
      </c>
      <c r="Q8" s="135">
        <v>6929.94</v>
      </c>
      <c r="R8" s="18">
        <v>1.267041E10</v>
      </c>
    </row>
    <row r="9">
      <c r="A9" s="129">
        <v>1.0</v>
      </c>
      <c r="B9" s="72">
        <f t="shared" si="1"/>
        <v>46006</v>
      </c>
      <c r="C9" s="100" t="s">
        <v>151</v>
      </c>
      <c r="D9" s="118">
        <v>6834.5</v>
      </c>
      <c r="E9" s="100" t="s">
        <v>152</v>
      </c>
      <c r="F9" s="15">
        <v>6834.5</v>
      </c>
      <c r="G9" s="88">
        <v>-0.002711961176134703</v>
      </c>
      <c r="H9" s="88">
        <v>-0.029562634989200864</v>
      </c>
      <c r="I9" s="136" t="s">
        <v>153</v>
      </c>
      <c r="L9" s="52">
        <v>46006.0</v>
      </c>
      <c r="M9" s="134">
        <v>6860.19</v>
      </c>
      <c r="N9" s="134">
        <v>6861.59</v>
      </c>
      <c r="O9" s="134">
        <v>6720.43</v>
      </c>
      <c r="P9" s="134">
        <v>6834.5</v>
      </c>
      <c r="Q9" s="134">
        <v>6834.5</v>
      </c>
      <c r="R9" s="15">
        <v>2.873656E10</v>
      </c>
    </row>
    <row r="10">
      <c r="B10" s="72">
        <f t="shared" si="1"/>
        <v>45999</v>
      </c>
      <c r="C10" s="100" t="s">
        <v>154</v>
      </c>
      <c r="D10" s="118">
        <v>6827.41</v>
      </c>
      <c r="E10" s="100" t="s">
        <v>155</v>
      </c>
      <c r="F10" s="18">
        <v>6827.41</v>
      </c>
      <c r="G10" s="88">
        <v>-0.006522972206466138</v>
      </c>
      <c r="H10" s="88">
        <v>-0.0165283770328577</v>
      </c>
      <c r="L10" s="56">
        <v>45999.0</v>
      </c>
      <c r="M10" s="135">
        <v>6875.2</v>
      </c>
      <c r="N10" s="135">
        <v>6903.46</v>
      </c>
      <c r="O10" s="135">
        <v>6801.79</v>
      </c>
      <c r="P10" s="135">
        <v>6827.41</v>
      </c>
      <c r="Q10" s="135">
        <v>6827.41</v>
      </c>
      <c r="R10" s="18">
        <v>2.472297E10</v>
      </c>
    </row>
    <row r="11">
      <c r="B11" s="72">
        <f t="shared" si="1"/>
        <v>45992</v>
      </c>
      <c r="C11" s="100" t="s">
        <v>156</v>
      </c>
      <c r="D11" s="118">
        <v>6870.4</v>
      </c>
      <c r="E11" s="100" t="s">
        <v>157</v>
      </c>
      <c r="F11" s="15">
        <v>6870.4</v>
      </c>
      <c r="G11" s="88"/>
      <c r="H11" s="88"/>
      <c r="L11" s="52">
        <v>45992.0</v>
      </c>
      <c r="M11" s="134">
        <v>6812.3</v>
      </c>
      <c r="N11" s="134">
        <v>6895.78</v>
      </c>
      <c r="O11" s="134">
        <v>6799.94</v>
      </c>
      <c r="P11" s="134">
        <v>6870.4</v>
      </c>
      <c r="Q11" s="134">
        <v>6870.4</v>
      </c>
      <c r="R11" s="15">
        <v>2.368544E10</v>
      </c>
    </row>
    <row r="12">
      <c r="B12" s="72">
        <f t="shared" si="1"/>
        <v>45985</v>
      </c>
      <c r="C12" s="100" t="s">
        <v>158</v>
      </c>
      <c r="D12" s="118">
        <v>6849.09</v>
      </c>
      <c r="E12" s="100" t="s">
        <v>159</v>
      </c>
      <c r="F12" s="18">
        <v>6849.09</v>
      </c>
      <c r="G12" s="88"/>
      <c r="H12" s="88"/>
      <c r="L12" s="56">
        <v>45985.0</v>
      </c>
      <c r="M12" s="135">
        <v>6636.54</v>
      </c>
      <c r="N12" s="135">
        <v>6850.86</v>
      </c>
      <c r="O12" s="135">
        <v>6630.7</v>
      </c>
      <c r="P12" s="135">
        <v>6849.09</v>
      </c>
      <c r="Q12" s="135">
        <v>6849.09</v>
      </c>
      <c r="R12" s="18">
        <v>1.808661E10</v>
      </c>
    </row>
    <row r="13">
      <c r="B13" s="72">
        <f t="shared" si="1"/>
        <v>45978</v>
      </c>
      <c r="C13" s="100" t="s">
        <v>160</v>
      </c>
      <c r="D13" s="118">
        <v>6602.99</v>
      </c>
      <c r="E13" s="100" t="s">
        <v>161</v>
      </c>
      <c r="F13" s="15">
        <v>6602.99</v>
      </c>
      <c r="G13" s="88">
        <v>-0.04269384382316477</v>
      </c>
      <c r="H13" s="88">
        <v>-0.02498302783435169</v>
      </c>
      <c r="L13" s="52">
        <v>45978.0</v>
      </c>
      <c r="M13" s="134">
        <v>6713.61</v>
      </c>
      <c r="N13" s="134">
        <v>6770.35</v>
      </c>
      <c r="O13" s="134">
        <v>6521.92</v>
      </c>
      <c r="P13" s="134">
        <v>6602.99</v>
      </c>
      <c r="Q13" s="134">
        <v>6602.99</v>
      </c>
      <c r="R13" s="15">
        <v>2.691123E10</v>
      </c>
    </row>
    <row r="14">
      <c r="B14" s="72">
        <f t="shared" si="1"/>
        <v>45971</v>
      </c>
      <c r="C14" s="100" t="s">
        <v>162</v>
      </c>
      <c r="D14" s="118">
        <v>6734.11</v>
      </c>
      <c r="E14" s="100" t="s">
        <v>163</v>
      </c>
      <c r="F14" s="18">
        <v>6734.11</v>
      </c>
      <c r="G14" s="88">
        <v>0.0023467697404748744</v>
      </c>
      <c r="H14" s="88">
        <v>0.016492995652473974</v>
      </c>
      <c r="L14" s="56">
        <v>45971.0</v>
      </c>
      <c r="M14" s="135">
        <v>6785.36</v>
      </c>
      <c r="N14" s="135">
        <v>6869.91</v>
      </c>
      <c r="O14" s="135">
        <v>6646.87</v>
      </c>
      <c r="P14" s="135">
        <v>6734.11</v>
      </c>
      <c r="Q14" s="135">
        <v>6734.11</v>
      </c>
      <c r="R14" s="18">
        <v>2.615953E10</v>
      </c>
    </row>
    <row r="15">
      <c r="B15" s="72">
        <f t="shared" si="1"/>
        <v>45964</v>
      </c>
      <c r="C15" s="100" t="s">
        <v>164</v>
      </c>
      <c r="D15" s="118">
        <v>6728.8</v>
      </c>
      <c r="E15" s="100" t="s">
        <v>165</v>
      </c>
      <c r="F15" s="15">
        <v>6728.8</v>
      </c>
      <c r="G15" s="88">
        <v>0.025191055759977266</v>
      </c>
      <c r="H15" s="88">
        <v>0.003253946275270092</v>
      </c>
      <c r="L15" s="52">
        <v>45964.0</v>
      </c>
      <c r="M15" s="134">
        <v>6882.32</v>
      </c>
      <c r="N15" s="134">
        <v>6882.32</v>
      </c>
      <c r="O15" s="134">
        <v>6631.44</v>
      </c>
      <c r="P15" s="134">
        <v>6728.8</v>
      </c>
      <c r="Q15" s="134">
        <v>6728.8</v>
      </c>
      <c r="R15" s="15">
        <v>2.97228E10</v>
      </c>
    </row>
    <row r="16">
      <c r="B16" s="72">
        <f t="shared" si="1"/>
        <v>45957</v>
      </c>
      <c r="C16" s="100" t="s">
        <v>166</v>
      </c>
      <c r="D16" s="118">
        <v>6840.2</v>
      </c>
      <c r="E16" s="100" t="s">
        <v>167</v>
      </c>
      <c r="F16" s="18">
        <v>6840.2</v>
      </c>
      <c r="G16" s="88">
        <v>0.008564087924636032</v>
      </c>
      <c r="H16" s="88">
        <v>0.020272656636292963</v>
      </c>
      <c r="L16" s="56">
        <v>45957.0</v>
      </c>
      <c r="M16" s="135">
        <v>6845.46</v>
      </c>
      <c r="N16" s="135">
        <v>6920.34</v>
      </c>
      <c r="O16" s="135">
        <v>6814.26</v>
      </c>
      <c r="P16" s="135">
        <v>6840.2</v>
      </c>
      <c r="Q16" s="135">
        <v>6840.2</v>
      </c>
      <c r="R16" s="18">
        <v>2.971769E10</v>
      </c>
    </row>
    <row r="17">
      <c r="B17" s="72">
        <f t="shared" si="1"/>
        <v>45950</v>
      </c>
      <c r="C17" s="100" t="s">
        <v>168</v>
      </c>
      <c r="D17" s="118">
        <v>6791.69</v>
      </c>
      <c r="E17" s="100" t="s">
        <v>169</v>
      </c>
      <c r="F17" s="15">
        <v>6791.69</v>
      </c>
      <c r="G17" s="88">
        <v>0.0239695995323006</v>
      </c>
      <c r="H17" s="88">
        <v>-0.021428077694062297</v>
      </c>
      <c r="L17" s="52">
        <v>45950.0</v>
      </c>
      <c r="M17" s="134">
        <v>6690.05</v>
      </c>
      <c r="N17" s="134">
        <v>6807.11</v>
      </c>
      <c r="O17" s="134">
        <v>6655.69</v>
      </c>
      <c r="P17" s="134">
        <v>6791.69</v>
      </c>
      <c r="Q17" s="134">
        <v>6791.69</v>
      </c>
      <c r="R17" s="15">
        <v>2.625117E10</v>
      </c>
    </row>
    <row r="18">
      <c r="B18" s="72">
        <f t="shared" si="1"/>
        <v>45943</v>
      </c>
      <c r="C18" s="100" t="s">
        <v>170</v>
      </c>
      <c r="D18" s="118">
        <v>6664.01</v>
      </c>
      <c r="E18" s="100" t="s">
        <v>171</v>
      </c>
      <c r="F18" s="18">
        <v>6664.01</v>
      </c>
      <c r="G18" s="88">
        <v>-0.011557353366079104</v>
      </c>
      <c r="H18" s="88">
        <v>-0.03604744136460569</v>
      </c>
      <c r="I18" s="136" t="s">
        <v>172</v>
      </c>
      <c r="L18" s="56">
        <v>45943.0</v>
      </c>
      <c r="M18" s="135">
        <v>6622.53</v>
      </c>
      <c r="N18" s="135">
        <v>6724.12</v>
      </c>
      <c r="O18" s="135">
        <v>6555.07</v>
      </c>
      <c r="P18" s="135">
        <v>6664.01</v>
      </c>
      <c r="Q18" s="135">
        <v>6664.01</v>
      </c>
      <c r="R18" s="18">
        <v>2.801024E10</v>
      </c>
    </row>
    <row r="19">
      <c r="B19" s="72">
        <f t="shared" si="1"/>
        <v>45936</v>
      </c>
      <c r="C19" s="100" t="s">
        <v>173</v>
      </c>
      <c r="D19" s="118">
        <v>6552.51</v>
      </c>
      <c r="E19" s="100" t="s">
        <v>174</v>
      </c>
      <c r="F19" s="15">
        <v>6552.51</v>
      </c>
      <c r="G19" s="88">
        <v>0.018540317834019993</v>
      </c>
      <c r="H19" s="88">
        <v>-0.014058599395611493</v>
      </c>
      <c r="L19" s="52">
        <v>45936.0</v>
      </c>
      <c r="M19" s="134">
        <v>6733.86</v>
      </c>
      <c r="N19" s="134">
        <v>6764.58</v>
      </c>
      <c r="O19" s="134">
        <v>6550.78</v>
      </c>
      <c r="P19" s="134">
        <v>6552.51</v>
      </c>
      <c r="Q19" s="134">
        <v>6552.51</v>
      </c>
      <c r="R19" s="15">
        <v>2.851537E10</v>
      </c>
    </row>
    <row r="20">
      <c r="B20" s="72">
        <f t="shared" si="1"/>
        <v>45929</v>
      </c>
      <c r="C20" s="100" t="s">
        <v>175</v>
      </c>
      <c r="D20" s="118">
        <v>6715.79</v>
      </c>
      <c r="E20" s="100" t="s">
        <v>176</v>
      </c>
      <c r="F20" s="18">
        <v>6715.79</v>
      </c>
      <c r="G20" s="88">
        <v>0.02088027640078116</v>
      </c>
      <c r="H20" s="88">
        <v>0.024153939312386408</v>
      </c>
      <c r="L20" s="56">
        <v>45929.0</v>
      </c>
      <c r="M20" s="135">
        <v>6661.58</v>
      </c>
      <c r="N20" s="135">
        <v>6750.87</v>
      </c>
      <c r="O20" s="135">
        <v>6641.0</v>
      </c>
      <c r="P20" s="135">
        <v>6715.79</v>
      </c>
      <c r="Q20" s="135">
        <v>6715.79</v>
      </c>
      <c r="R20" s="18">
        <v>2.858316E10</v>
      </c>
    </row>
    <row r="21">
      <c r="B21" s="72">
        <f t="shared" si="1"/>
        <v>45922</v>
      </c>
      <c r="C21" s="100" t="s">
        <v>177</v>
      </c>
      <c r="D21" s="118">
        <v>6643.7</v>
      </c>
      <c r="E21" s="100" t="s">
        <v>178</v>
      </c>
      <c r="F21" s="15">
        <v>6643.7</v>
      </c>
      <c r="G21" s="88">
        <v>0.005741048496751722</v>
      </c>
      <c r="H21" s="88">
        <v>0.057112375533428184</v>
      </c>
      <c r="L21" s="52">
        <v>45922.0</v>
      </c>
      <c r="M21" s="134">
        <v>6654.28</v>
      </c>
      <c r="N21" s="134">
        <v>6699.52</v>
      </c>
      <c r="O21" s="134">
        <v>6569.22</v>
      </c>
      <c r="P21" s="134">
        <v>6643.7</v>
      </c>
      <c r="Q21" s="134">
        <v>6643.7</v>
      </c>
      <c r="R21" s="15">
        <v>2.77132E10</v>
      </c>
    </row>
    <row r="22">
      <c r="B22" s="72">
        <f t="shared" si="1"/>
        <v>45915</v>
      </c>
      <c r="C22" s="100" t="s">
        <v>179</v>
      </c>
      <c r="D22" s="118">
        <v>6664.36</v>
      </c>
      <c r="E22" s="100" t="s">
        <v>180</v>
      </c>
      <c r="F22" s="18">
        <v>6664.36</v>
      </c>
      <c r="G22" s="88">
        <v>0.015028369881920023</v>
      </c>
      <c r="H22" s="88">
        <v>0.01092896174863367</v>
      </c>
      <c r="L22" s="56">
        <v>45915.0</v>
      </c>
      <c r="M22" s="135">
        <v>6603.49</v>
      </c>
      <c r="N22" s="135">
        <v>6671.82</v>
      </c>
      <c r="O22" s="135">
        <v>6551.15</v>
      </c>
      <c r="P22" s="135">
        <v>6664.36</v>
      </c>
      <c r="Q22" s="135">
        <v>6664.36</v>
      </c>
      <c r="R22" s="18">
        <v>3.062823E10</v>
      </c>
    </row>
    <row r="23">
      <c r="B23" s="72">
        <f t="shared" si="1"/>
        <v>45908</v>
      </c>
      <c r="C23" s="100" t="s">
        <v>181</v>
      </c>
      <c r="D23" s="118">
        <v>6584.29</v>
      </c>
      <c r="E23" s="100" t="s">
        <v>182</v>
      </c>
      <c r="F23" s="15">
        <v>6584.29</v>
      </c>
      <c r="G23" s="88"/>
      <c r="H23" s="88">
        <v>-0.009331148942232192</v>
      </c>
      <c r="L23" s="52">
        <v>45908.0</v>
      </c>
      <c r="M23" s="134">
        <v>6498.09</v>
      </c>
      <c r="N23" s="134">
        <v>6600.21</v>
      </c>
      <c r="O23" s="134">
        <v>6483.08</v>
      </c>
      <c r="P23" s="134">
        <v>6584.29</v>
      </c>
      <c r="Q23" s="134">
        <v>6584.29</v>
      </c>
      <c r="R23" s="15">
        <v>2.533096E10</v>
      </c>
    </row>
    <row r="24">
      <c r="B24" s="72">
        <f t="shared" si="1"/>
        <v>45901</v>
      </c>
      <c r="C24" s="100" t="s">
        <v>183</v>
      </c>
      <c r="D24" s="118">
        <v>6481.5</v>
      </c>
      <c r="E24" s="100" t="s">
        <v>184</v>
      </c>
      <c r="F24" s="18">
        <v>6481.5</v>
      </c>
      <c r="G24" s="88"/>
      <c r="H24" s="88">
        <v>-0.012311805262417375</v>
      </c>
      <c r="L24" s="56">
        <v>45901.0</v>
      </c>
      <c r="M24" s="135">
        <v>6401.51</v>
      </c>
      <c r="N24" s="135">
        <v>6532.65</v>
      </c>
      <c r="O24" s="135">
        <v>6360.58</v>
      </c>
      <c r="P24" s="135">
        <v>6481.5</v>
      </c>
      <c r="Q24" s="135">
        <v>6481.5</v>
      </c>
      <c r="R24" s="18">
        <v>1.898625E10</v>
      </c>
    </row>
    <row r="25">
      <c r="B25" s="72">
        <f t="shared" si="1"/>
        <v>45894</v>
      </c>
      <c r="C25" s="100" t="s">
        <v>185</v>
      </c>
      <c r="D25" s="118">
        <v>6460.26</v>
      </c>
      <c r="E25" s="100" t="s">
        <v>186</v>
      </c>
      <c r="F25" s="15">
        <v>6460.26</v>
      </c>
      <c r="G25" s="88">
        <v>-0.008782556026650679</v>
      </c>
      <c r="H25" s="88"/>
      <c r="L25" s="52">
        <v>45894.0</v>
      </c>
      <c r="M25" s="134">
        <v>6457.67</v>
      </c>
      <c r="N25" s="134">
        <v>6508.23</v>
      </c>
      <c r="O25" s="134">
        <v>6429.21</v>
      </c>
      <c r="P25" s="134">
        <v>6460.26</v>
      </c>
      <c r="Q25" s="134">
        <v>6460.26</v>
      </c>
      <c r="R25" s="15">
        <v>2.158903E10</v>
      </c>
    </row>
    <row r="26">
      <c r="B26" s="72">
        <f t="shared" si="1"/>
        <v>45887</v>
      </c>
      <c r="C26" s="100" t="s">
        <v>187</v>
      </c>
      <c r="D26" s="118">
        <v>6466.91</v>
      </c>
      <c r="E26" s="100" t="s">
        <v>188</v>
      </c>
      <c r="F26" s="18">
        <v>6466.91</v>
      </c>
      <c r="G26" s="88">
        <v>-0.013886814991787233</v>
      </c>
      <c r="H26" s="88"/>
      <c r="L26" s="56">
        <v>45887.0</v>
      </c>
      <c r="M26" s="135">
        <v>6445.02</v>
      </c>
      <c r="N26" s="135">
        <v>6478.89</v>
      </c>
      <c r="O26" s="135">
        <v>6343.86</v>
      </c>
      <c r="P26" s="135">
        <v>6466.91</v>
      </c>
      <c r="Q26" s="135">
        <v>6466.91</v>
      </c>
      <c r="R26" s="18">
        <v>2.207054E10</v>
      </c>
    </row>
    <row r="27">
      <c r="B27" s="72">
        <f t="shared" si="1"/>
        <v>45880</v>
      </c>
      <c r="C27" s="100" t="s">
        <v>189</v>
      </c>
      <c r="D27" s="118">
        <v>6449.8</v>
      </c>
      <c r="E27" s="100" t="s">
        <v>190</v>
      </c>
      <c r="F27" s="15">
        <v>6449.8</v>
      </c>
      <c r="G27" s="88">
        <v>-0.015002206206795043</v>
      </c>
      <c r="H27" s="88">
        <v>-0.015159829880642128</v>
      </c>
      <c r="L27" s="52">
        <v>45880.0</v>
      </c>
      <c r="M27" s="134">
        <v>6389.67</v>
      </c>
      <c r="N27" s="134">
        <v>6481.34</v>
      </c>
      <c r="O27" s="134">
        <v>6364.06</v>
      </c>
      <c r="P27" s="134">
        <v>6449.8</v>
      </c>
      <c r="Q27" s="134">
        <v>6449.8</v>
      </c>
      <c r="R27" s="15">
        <v>2.402076E10</v>
      </c>
    </row>
    <row r="28">
      <c r="B28" s="72">
        <f t="shared" si="1"/>
        <v>45873</v>
      </c>
      <c r="C28" s="100" t="s">
        <v>191</v>
      </c>
      <c r="D28" s="118">
        <v>6389.45</v>
      </c>
      <c r="E28" s="100" t="s">
        <v>192</v>
      </c>
      <c r="F28" s="18">
        <v>6389.45</v>
      </c>
      <c r="G28" s="88">
        <v>-0.016206048328751277</v>
      </c>
      <c r="H28" s="88">
        <v>-0.006609880749574137</v>
      </c>
      <c r="L28" s="56">
        <v>45873.0</v>
      </c>
      <c r="M28" s="135">
        <v>6271.71</v>
      </c>
      <c r="N28" s="135">
        <v>6395.16</v>
      </c>
      <c r="O28" s="135">
        <v>6271.71</v>
      </c>
      <c r="P28" s="135">
        <v>6389.45</v>
      </c>
      <c r="Q28" s="135">
        <v>6389.45</v>
      </c>
      <c r="R28" s="18">
        <v>2.584455E10</v>
      </c>
    </row>
    <row r="29">
      <c r="B29" s="72">
        <f t="shared" si="1"/>
        <v>45866</v>
      </c>
      <c r="C29" s="100" t="s">
        <v>193</v>
      </c>
      <c r="D29" s="118">
        <v>6238.01</v>
      </c>
      <c r="E29" s="100" t="s">
        <v>194</v>
      </c>
      <c r="F29" s="15">
        <v>6238.01</v>
      </c>
      <c r="G29" s="88">
        <v>0.003047895500725595</v>
      </c>
      <c r="H29" s="88">
        <v>-0.005084745762711895</v>
      </c>
      <c r="L29" s="52">
        <v>45866.0</v>
      </c>
      <c r="M29" s="134">
        <v>6397.69</v>
      </c>
      <c r="N29" s="134">
        <v>6427.02</v>
      </c>
      <c r="O29" s="134">
        <v>6212.69</v>
      </c>
      <c r="P29" s="134">
        <v>6238.01</v>
      </c>
      <c r="Q29" s="134">
        <v>6238.01</v>
      </c>
      <c r="R29" s="15">
        <v>2.692104E10</v>
      </c>
    </row>
    <row r="30">
      <c r="B30" s="72">
        <f t="shared" si="1"/>
        <v>45859</v>
      </c>
      <c r="C30" s="100" t="s">
        <v>195</v>
      </c>
      <c r="D30" s="118">
        <v>6388.64</v>
      </c>
      <c r="E30" s="100" t="s">
        <v>196</v>
      </c>
      <c r="F30" s="18">
        <v>6388.64</v>
      </c>
      <c r="G30" s="88">
        <v>-0.006058857472590717</v>
      </c>
      <c r="H30" s="88">
        <v>0.035741872059546376</v>
      </c>
      <c r="L30" s="56">
        <v>45859.0</v>
      </c>
      <c r="M30" s="135">
        <v>6304.74</v>
      </c>
      <c r="N30" s="135">
        <v>6395.82</v>
      </c>
      <c r="O30" s="135">
        <v>6281.71</v>
      </c>
      <c r="P30" s="135">
        <v>6388.64</v>
      </c>
      <c r="Q30" s="135">
        <v>6388.64</v>
      </c>
      <c r="R30" s="18">
        <v>2.606883E10</v>
      </c>
    </row>
    <row r="31">
      <c r="B31" s="72">
        <f t="shared" si="1"/>
        <v>45852</v>
      </c>
      <c r="C31" s="100" t="s">
        <v>197</v>
      </c>
      <c r="D31" s="118">
        <v>6296.79</v>
      </c>
      <c r="E31" s="100" t="s">
        <v>198</v>
      </c>
      <c r="F31" s="15">
        <v>6296.79</v>
      </c>
      <c r="G31" s="88">
        <v>0.02151488358384901</v>
      </c>
      <c r="H31" s="88">
        <v>0.04260926861410064</v>
      </c>
      <c r="L31" s="52">
        <v>45852.0</v>
      </c>
      <c r="M31" s="134">
        <v>6255.15</v>
      </c>
      <c r="N31" s="134">
        <v>6315.61</v>
      </c>
      <c r="O31" s="134">
        <v>6201.59</v>
      </c>
      <c r="P31" s="134">
        <v>6296.79</v>
      </c>
      <c r="Q31" s="134">
        <v>6296.79</v>
      </c>
      <c r="R31" s="15">
        <v>2.573037E10</v>
      </c>
    </row>
    <row r="32">
      <c r="B32" s="72">
        <f t="shared" si="1"/>
        <v>45845</v>
      </c>
      <c r="C32" s="100" t="s">
        <v>199</v>
      </c>
      <c r="D32" s="118">
        <v>6259.75</v>
      </c>
      <c r="E32" s="100" t="s">
        <v>200</v>
      </c>
      <c r="F32" s="18">
        <v>6259.75</v>
      </c>
      <c r="G32" s="88">
        <v>-0.004401408450704136</v>
      </c>
      <c r="H32" s="88">
        <v>-0.029073073642308822</v>
      </c>
      <c r="L32" s="56">
        <v>45845.0</v>
      </c>
      <c r="M32" s="135">
        <v>6259.04</v>
      </c>
      <c r="N32" s="135">
        <v>6290.22</v>
      </c>
      <c r="O32" s="135">
        <v>6201.0</v>
      </c>
      <c r="P32" s="135">
        <v>6259.75</v>
      </c>
      <c r="Q32" s="135">
        <v>6259.75</v>
      </c>
      <c r="R32" s="18">
        <v>2.581267E10</v>
      </c>
    </row>
    <row r="33">
      <c r="B33" s="72">
        <f t="shared" si="1"/>
        <v>45838</v>
      </c>
      <c r="C33" s="100" t="s">
        <v>201</v>
      </c>
      <c r="D33" s="118">
        <v>6279.35</v>
      </c>
      <c r="E33" s="100" t="s">
        <v>202</v>
      </c>
      <c r="F33" s="15">
        <v>6279.35</v>
      </c>
      <c r="G33" s="88">
        <v>-0.009734127560656725</v>
      </c>
      <c r="H33" s="88">
        <v>0.0014236902050115408</v>
      </c>
      <c r="L33" s="52">
        <v>45838.0</v>
      </c>
      <c r="M33" s="134">
        <v>6193.36</v>
      </c>
      <c r="N33" s="134">
        <v>6284.65</v>
      </c>
      <c r="O33" s="134">
        <v>6174.97</v>
      </c>
      <c r="P33" s="134">
        <v>6279.35</v>
      </c>
      <c r="Q33" s="134">
        <v>6279.35</v>
      </c>
      <c r="R33" s="15">
        <v>2.108203E10</v>
      </c>
    </row>
    <row r="34">
      <c r="B34" s="72">
        <f t="shared" si="1"/>
        <v>45831</v>
      </c>
      <c r="C34" s="100" t="s">
        <v>203</v>
      </c>
      <c r="D34" s="118">
        <v>6173.07</v>
      </c>
      <c r="E34" s="100" t="s">
        <v>204</v>
      </c>
      <c r="F34" s="18">
        <v>6173.07</v>
      </c>
      <c r="G34" s="88">
        <v>-2.904865649963062E-4</v>
      </c>
      <c r="H34" s="88">
        <v>0.05902751601960032</v>
      </c>
      <c r="L34" s="56">
        <v>45831.0</v>
      </c>
      <c r="M34" s="135">
        <v>5969.67</v>
      </c>
      <c r="N34" s="135">
        <v>6187.68</v>
      </c>
      <c r="O34" s="135">
        <v>5943.23</v>
      </c>
      <c r="P34" s="135">
        <v>6173.07</v>
      </c>
      <c r="Q34" s="135">
        <v>6173.07</v>
      </c>
      <c r="R34" s="18">
        <v>2.940929E10</v>
      </c>
    </row>
    <row r="35">
      <c r="B35" s="72">
        <f t="shared" si="1"/>
        <v>45824</v>
      </c>
      <c r="C35" s="100" t="s">
        <v>205</v>
      </c>
      <c r="D35" s="118">
        <v>5967.84</v>
      </c>
      <c r="E35" s="100" t="s">
        <v>150</v>
      </c>
      <c r="F35" s="15">
        <v>5967.84</v>
      </c>
      <c r="G35" s="88">
        <v>-0.020765182762053858</v>
      </c>
      <c r="H35" s="88">
        <v>-9.038186337275711E-4</v>
      </c>
      <c r="L35" s="52">
        <v>45824.0</v>
      </c>
      <c r="M35" s="134">
        <v>6004.0</v>
      </c>
      <c r="N35" s="134">
        <v>6050.83</v>
      </c>
      <c r="O35" s="134">
        <v>5952.56</v>
      </c>
      <c r="P35" s="134">
        <v>5967.84</v>
      </c>
      <c r="Q35" s="134">
        <v>5967.84</v>
      </c>
      <c r="R35" s="15">
        <v>2.262538E10</v>
      </c>
    </row>
    <row r="36">
      <c r="B36" s="72">
        <f t="shared" si="1"/>
        <v>45817</v>
      </c>
      <c r="C36" s="100" t="s">
        <v>206</v>
      </c>
      <c r="D36" s="118">
        <v>5976.97</v>
      </c>
      <c r="E36" s="100" t="s">
        <v>207</v>
      </c>
      <c r="F36" s="18">
        <v>5976.97</v>
      </c>
      <c r="G36" s="88">
        <v>0.014427932477276029</v>
      </c>
      <c r="H36" s="88">
        <v>0.03314917127071837</v>
      </c>
      <c r="L36" s="56">
        <v>45817.0</v>
      </c>
      <c r="M36" s="135">
        <v>6004.63</v>
      </c>
      <c r="N36" s="135">
        <v>6059.4</v>
      </c>
      <c r="O36" s="135">
        <v>5963.21</v>
      </c>
      <c r="P36" s="135">
        <v>5976.97</v>
      </c>
      <c r="Q36" s="135">
        <v>5976.97</v>
      </c>
      <c r="R36" s="18">
        <v>2.45652E10</v>
      </c>
    </row>
    <row r="37">
      <c r="B37" s="72">
        <f t="shared" si="1"/>
        <v>45810</v>
      </c>
      <c r="C37" s="100" t="s">
        <v>208</v>
      </c>
      <c r="D37" s="118">
        <v>6000.36</v>
      </c>
      <c r="E37" s="100" t="s">
        <v>209</v>
      </c>
      <c r="F37" s="15">
        <v>6000.36</v>
      </c>
      <c r="G37" s="88">
        <v>0.02166863207547176</v>
      </c>
      <c r="H37" s="88">
        <v>0.015247274450939985</v>
      </c>
      <c r="L37" s="52">
        <v>45810.0</v>
      </c>
      <c r="M37" s="134">
        <v>5896.68</v>
      </c>
      <c r="N37" s="134">
        <v>6016.87</v>
      </c>
      <c r="O37" s="134">
        <v>5861.43</v>
      </c>
      <c r="P37" s="134">
        <v>6000.36</v>
      </c>
      <c r="Q37" s="134">
        <v>6000.36</v>
      </c>
      <c r="R37" s="15">
        <v>2.407353E10</v>
      </c>
    </row>
    <row r="38">
      <c r="B38" s="72">
        <f t="shared" si="1"/>
        <v>45803</v>
      </c>
      <c r="C38" s="100" t="s">
        <v>210</v>
      </c>
      <c r="D38" s="118">
        <v>5911.69</v>
      </c>
      <c r="E38" s="100" t="s">
        <v>211</v>
      </c>
      <c r="F38" s="18">
        <v>5911.69</v>
      </c>
      <c r="G38" s="88"/>
      <c r="H38" s="88">
        <v>-0.013636717836827073</v>
      </c>
      <c r="L38" s="56">
        <v>45803.0</v>
      </c>
      <c r="M38" s="135">
        <v>5854.07</v>
      </c>
      <c r="N38" s="135">
        <v>5943.13</v>
      </c>
      <c r="O38" s="135">
        <v>5843.66</v>
      </c>
      <c r="P38" s="135">
        <v>5911.69</v>
      </c>
      <c r="Q38" s="135">
        <v>5911.69</v>
      </c>
      <c r="R38" s="18">
        <v>2.097972E10</v>
      </c>
    </row>
    <row r="39">
      <c r="B39" s="72">
        <f t="shared" si="1"/>
        <v>45796</v>
      </c>
      <c r="C39" s="100" t="s">
        <v>212</v>
      </c>
      <c r="D39" s="118">
        <v>5802.82</v>
      </c>
      <c r="E39" s="100" t="s">
        <v>213</v>
      </c>
      <c r="F39" s="15">
        <v>5802.82</v>
      </c>
      <c r="G39" s="88"/>
      <c r="H39" s="88"/>
      <c r="L39" s="52">
        <v>45796.0</v>
      </c>
      <c r="M39" s="134">
        <v>5902.88</v>
      </c>
      <c r="N39" s="134">
        <v>5968.61</v>
      </c>
      <c r="O39" s="134">
        <v>5767.41</v>
      </c>
      <c r="P39" s="134">
        <v>5802.82</v>
      </c>
      <c r="Q39" s="134">
        <v>5802.82</v>
      </c>
      <c r="R39" s="15">
        <v>2.363498E10</v>
      </c>
    </row>
    <row r="40">
      <c r="B40" s="72">
        <f t="shared" si="1"/>
        <v>45789</v>
      </c>
      <c r="C40" s="100" t="s">
        <v>214</v>
      </c>
      <c r="D40" s="118">
        <v>5958.38</v>
      </c>
      <c r="E40" s="100" t="s">
        <v>215</v>
      </c>
      <c r="F40" s="18">
        <v>5958.38</v>
      </c>
      <c r="G40" s="88">
        <v>-0.004726439415640216</v>
      </c>
      <c r="H40" s="88"/>
      <c r="L40" s="56">
        <v>45789.0</v>
      </c>
      <c r="M40" s="135">
        <v>5807.2</v>
      </c>
      <c r="N40" s="135">
        <v>5958.62</v>
      </c>
      <c r="O40" s="135">
        <v>5786.08</v>
      </c>
      <c r="P40" s="135">
        <v>5958.38</v>
      </c>
      <c r="Q40" s="135">
        <v>5958.38</v>
      </c>
      <c r="R40" s="18">
        <v>2.660646E10</v>
      </c>
    </row>
    <row r="41">
      <c r="B41" s="72">
        <f t="shared" si="1"/>
        <v>45782</v>
      </c>
      <c r="C41" s="100" t="s">
        <v>181</v>
      </c>
      <c r="D41" s="118">
        <v>5659.91</v>
      </c>
      <c r="E41" s="100" t="s">
        <v>216</v>
      </c>
      <c r="F41" s="15">
        <v>5659.91</v>
      </c>
      <c r="G41" s="88">
        <v>-0.01034727143869607</v>
      </c>
      <c r="H41" s="88">
        <v>-0.010821831869510579</v>
      </c>
      <c r="L41" s="52">
        <v>45782.0</v>
      </c>
      <c r="M41" s="134">
        <v>5655.32</v>
      </c>
      <c r="N41" s="134">
        <v>5720.1</v>
      </c>
      <c r="O41" s="134">
        <v>5578.64</v>
      </c>
      <c r="P41" s="134">
        <v>5659.91</v>
      </c>
      <c r="Q41" s="134">
        <v>5659.91</v>
      </c>
      <c r="R41" s="15">
        <v>2.433545E10</v>
      </c>
    </row>
    <row r="42">
      <c r="B42" s="72">
        <f t="shared" si="1"/>
        <v>45775</v>
      </c>
      <c r="C42" s="100" t="s">
        <v>217</v>
      </c>
      <c r="D42" s="118">
        <v>5686.67</v>
      </c>
      <c r="E42" s="100" t="s">
        <v>218</v>
      </c>
      <c r="F42" s="18">
        <v>5686.67</v>
      </c>
      <c r="G42" s="88">
        <v>0.0045564573544067954</v>
      </c>
      <c r="H42" s="88">
        <v>0.016338566988124636</v>
      </c>
      <c r="L42" s="56">
        <v>45775.0</v>
      </c>
      <c r="M42" s="135">
        <v>5529.22</v>
      </c>
      <c r="N42" s="135">
        <v>5700.7</v>
      </c>
      <c r="O42" s="135">
        <v>5433.24</v>
      </c>
      <c r="P42" s="135">
        <v>5686.67</v>
      </c>
      <c r="Q42" s="135">
        <v>5686.67</v>
      </c>
      <c r="R42" s="18">
        <v>2.424417E10</v>
      </c>
    </row>
    <row r="43">
      <c r="B43" s="72">
        <f t="shared" si="1"/>
        <v>45768</v>
      </c>
      <c r="C43" s="100" t="s">
        <v>219</v>
      </c>
      <c r="D43" s="118">
        <v>5525.21</v>
      </c>
      <c r="E43" s="100" t="s">
        <v>220</v>
      </c>
      <c r="F43" s="15">
        <v>5525.21</v>
      </c>
      <c r="G43" s="88">
        <v>-0.0031227821149751867</v>
      </c>
      <c r="H43" s="88">
        <v>-0.019995313598375364</v>
      </c>
      <c r="L43" s="52">
        <v>45768.0</v>
      </c>
      <c r="M43" s="134">
        <v>5232.94</v>
      </c>
      <c r="N43" s="134">
        <v>5528.11</v>
      </c>
      <c r="O43" s="134">
        <v>5101.63</v>
      </c>
      <c r="P43" s="134">
        <v>5525.21</v>
      </c>
      <c r="Q43" s="134">
        <v>5525.21</v>
      </c>
      <c r="R43" s="15">
        <v>2.319897E10</v>
      </c>
    </row>
    <row r="44">
      <c r="B44" s="72">
        <f t="shared" si="1"/>
        <v>45761</v>
      </c>
      <c r="C44" s="100" t="s">
        <v>221</v>
      </c>
      <c r="D44" s="118">
        <v>5282.7</v>
      </c>
      <c r="E44" s="100" t="s">
        <v>222</v>
      </c>
      <c r="F44" s="18">
        <v>5282.7</v>
      </c>
      <c r="G44" s="88">
        <v>0.021014492753623326</v>
      </c>
      <c r="H44" s="88">
        <v>0.011774932827564255</v>
      </c>
      <c r="L44" s="56">
        <v>45761.0</v>
      </c>
      <c r="M44" s="135">
        <v>5441.96</v>
      </c>
      <c r="N44" s="135">
        <v>5459.46</v>
      </c>
      <c r="O44" s="135">
        <v>5220.79</v>
      </c>
      <c r="P44" s="135">
        <v>5282.7</v>
      </c>
      <c r="Q44" s="135">
        <v>5282.7</v>
      </c>
      <c r="R44" s="18">
        <v>1.867118E10</v>
      </c>
    </row>
    <row r="45">
      <c r="B45" s="72">
        <f t="shared" si="1"/>
        <v>45754</v>
      </c>
      <c r="C45" s="100" t="s">
        <v>223</v>
      </c>
      <c r="D45" s="118">
        <v>5363.36</v>
      </c>
      <c r="E45" s="100" t="s">
        <v>224</v>
      </c>
      <c r="F45" s="15">
        <v>5363.36</v>
      </c>
      <c r="G45" s="88">
        <v>-0.015832263585793704</v>
      </c>
      <c r="H45" s="88">
        <v>-0.024739884393063516</v>
      </c>
      <c r="L45" s="52">
        <v>45754.0</v>
      </c>
      <c r="M45" s="134">
        <v>4953.79</v>
      </c>
      <c r="N45" s="134">
        <v>5481.34</v>
      </c>
      <c r="O45" s="134">
        <v>4835.04</v>
      </c>
      <c r="P45" s="134">
        <v>5363.36</v>
      </c>
      <c r="Q45" s="134">
        <v>5363.36</v>
      </c>
      <c r="R45" s="15">
        <v>3.786941E10</v>
      </c>
    </row>
    <row r="46">
      <c r="B46" s="72">
        <f t="shared" si="1"/>
        <v>45747</v>
      </c>
      <c r="C46" s="100" t="s">
        <v>185</v>
      </c>
      <c r="D46" s="118">
        <v>5074.08</v>
      </c>
      <c r="E46" s="100" t="s">
        <v>225</v>
      </c>
      <c r="F46" s="18">
        <v>5074.08</v>
      </c>
      <c r="G46" s="88">
        <v>-0.0035531552018192025</v>
      </c>
      <c r="H46" s="88">
        <v>0.002782286111755239</v>
      </c>
      <c r="L46" s="56">
        <v>45747.0</v>
      </c>
      <c r="M46" s="135">
        <v>5527.91</v>
      </c>
      <c r="N46" s="135">
        <v>5695.31</v>
      </c>
      <c r="O46" s="135">
        <v>5069.9</v>
      </c>
      <c r="P46" s="135">
        <v>5074.08</v>
      </c>
      <c r="Q46" s="135">
        <v>5074.08</v>
      </c>
      <c r="R46" s="18">
        <v>2.999955E10</v>
      </c>
    </row>
    <row r="47">
      <c r="B47" s="72">
        <f t="shared" si="1"/>
        <v>45740</v>
      </c>
      <c r="C47" s="100" t="s">
        <v>226</v>
      </c>
      <c r="D47" s="118">
        <v>5580.94</v>
      </c>
      <c r="E47" s="100" t="s">
        <v>227</v>
      </c>
      <c r="F47" s="15">
        <v>5580.94</v>
      </c>
      <c r="G47" s="88">
        <v>-0.014979700405991947</v>
      </c>
      <c r="H47" s="88">
        <v>-0.06624810565057382</v>
      </c>
      <c r="L47" s="52">
        <v>45740.0</v>
      </c>
      <c r="M47" s="134">
        <v>5718.08</v>
      </c>
      <c r="N47" s="134">
        <v>5786.95</v>
      </c>
      <c r="O47" s="134">
        <v>5572.42</v>
      </c>
      <c r="P47" s="134">
        <v>5580.94</v>
      </c>
      <c r="Q47" s="134">
        <v>5580.94</v>
      </c>
      <c r="R47" s="15">
        <v>2.208526E10</v>
      </c>
    </row>
    <row r="48">
      <c r="B48" s="72">
        <f t="shared" si="1"/>
        <v>45733</v>
      </c>
      <c r="C48" s="100" t="s">
        <v>228</v>
      </c>
      <c r="D48" s="118">
        <v>5667.56</v>
      </c>
      <c r="E48" s="100" t="s">
        <v>229</v>
      </c>
      <c r="F48" s="18">
        <v>5667.56</v>
      </c>
      <c r="G48" s="88">
        <v>0.02203462584060678</v>
      </c>
      <c r="H48" s="88">
        <v>-0.010991363928342213</v>
      </c>
      <c r="L48" s="56">
        <v>45733.0</v>
      </c>
      <c r="M48" s="135">
        <v>5635.6</v>
      </c>
      <c r="N48" s="135">
        <v>5715.33</v>
      </c>
      <c r="O48" s="135">
        <v>5597.76</v>
      </c>
      <c r="P48" s="135">
        <v>5667.56</v>
      </c>
      <c r="Q48" s="135">
        <v>5667.56</v>
      </c>
      <c r="R48" s="18">
        <v>2.840401E10</v>
      </c>
    </row>
    <row r="49">
      <c r="B49" s="72">
        <f t="shared" si="1"/>
        <v>45726</v>
      </c>
      <c r="C49" s="100" t="s">
        <v>230</v>
      </c>
      <c r="D49" s="118">
        <v>5638.94</v>
      </c>
      <c r="E49" s="100" t="s">
        <v>231</v>
      </c>
      <c r="F49" s="15">
        <v>5638.94</v>
      </c>
      <c r="G49" s="88">
        <v>0.021335671489112862</v>
      </c>
      <c r="H49" s="88">
        <v>-0.01483616931514542</v>
      </c>
      <c r="L49" s="52">
        <v>45726.0</v>
      </c>
      <c r="M49" s="134">
        <v>5705.37</v>
      </c>
      <c r="N49" s="134">
        <v>5705.37</v>
      </c>
      <c r="O49" s="134">
        <v>5504.65</v>
      </c>
      <c r="P49" s="134">
        <v>5638.94</v>
      </c>
      <c r="Q49" s="134">
        <v>5638.94</v>
      </c>
      <c r="R49" s="15">
        <v>2.77326E10</v>
      </c>
    </row>
    <row r="50">
      <c r="B50" s="72">
        <f t="shared" si="1"/>
        <v>45719</v>
      </c>
      <c r="C50" s="88"/>
      <c r="D50" s="118"/>
      <c r="E50" s="100" t="s">
        <v>232</v>
      </c>
      <c r="F50" s="31">
        <v>5770.2</v>
      </c>
      <c r="G50" s="88">
        <v>-0.006244554167876726</v>
      </c>
      <c r="H50" s="88">
        <v>-0.017817679558011168</v>
      </c>
      <c r="L50" s="59">
        <v>45719.0</v>
      </c>
      <c r="M50" s="137">
        <v>5968.33</v>
      </c>
      <c r="N50" s="137">
        <v>5986.09</v>
      </c>
      <c r="O50" s="137">
        <v>5666.29</v>
      </c>
      <c r="P50" s="137">
        <v>5770.2</v>
      </c>
      <c r="Q50" s="137">
        <v>5770.2</v>
      </c>
      <c r="R50" s="31">
        <v>2.790815E10</v>
      </c>
    </row>
    <row r="51">
      <c r="B51" s="72"/>
      <c r="D51" s="132"/>
      <c r="F51" s="132"/>
      <c r="G51" s="88">
        <v>0.02485488912040479</v>
      </c>
      <c r="H51" s="88">
        <v>0.02622253720765433</v>
      </c>
      <c r="L51" s="32"/>
    </row>
    <row r="52">
      <c r="B52" s="72"/>
      <c r="D52" s="132"/>
      <c r="F52" s="132"/>
      <c r="G52" s="88"/>
      <c r="H52" s="88">
        <v>-0.02109060635493265</v>
      </c>
      <c r="L52" s="32"/>
    </row>
    <row r="53">
      <c r="B53" s="72"/>
      <c r="D53" s="132"/>
      <c r="F53" s="132"/>
      <c r="G53" s="88"/>
      <c r="H53" s="88"/>
      <c r="L53" s="32"/>
    </row>
    <row r="54">
      <c r="B54" s="72"/>
      <c r="D54" s="132"/>
      <c r="F54" s="132"/>
      <c r="G54" s="88">
        <v>-0.031709426347650504</v>
      </c>
      <c r="H54" s="88"/>
      <c r="L54" s="32"/>
    </row>
    <row r="55">
      <c r="D55" s="132"/>
      <c r="F55" s="132"/>
      <c r="G55" s="88">
        <v>0.00303599826514378</v>
      </c>
      <c r="H55" s="88">
        <v>0.006369858372297976</v>
      </c>
      <c r="L55" s="32"/>
    </row>
    <row r="56">
      <c r="D56" s="132"/>
      <c r="F56" s="132"/>
      <c r="G56" s="88">
        <v>-0.002019910546818604</v>
      </c>
      <c r="H56" s="88">
        <v>-2.032520325203624E-4</v>
      </c>
      <c r="L56" s="32"/>
    </row>
    <row r="57">
      <c r="D57" s="132"/>
      <c r="F57" s="132"/>
      <c r="G57" s="88">
        <v>0.03602391629297452</v>
      </c>
      <c r="H57" s="88">
        <v>0.07049608355091386</v>
      </c>
      <c r="L57" s="32"/>
    </row>
    <row r="58">
      <c r="D58" s="132"/>
      <c r="F58" s="132"/>
      <c r="G58" s="88">
        <v>0.07885824866956948</v>
      </c>
      <c r="H58" s="88">
        <v>-0.008200258955546103</v>
      </c>
      <c r="L58" s="32"/>
    </row>
    <row r="59">
      <c r="D59" s="132"/>
      <c r="F59" s="132"/>
      <c r="L59" s="32"/>
    </row>
    <row r="60">
      <c r="D60" s="132"/>
      <c r="F60" s="132"/>
      <c r="L60" s="32"/>
    </row>
    <row r="61">
      <c r="D61" s="132"/>
      <c r="F61" s="132"/>
      <c r="L61" s="32"/>
    </row>
    <row r="62">
      <c r="D62" s="132"/>
      <c r="F62" s="132"/>
      <c r="L62" s="32"/>
    </row>
    <row r="63">
      <c r="D63" s="132"/>
      <c r="F63" s="132"/>
      <c r="L63" s="32"/>
    </row>
    <row r="64">
      <c r="D64" s="132"/>
      <c r="F64" s="132"/>
      <c r="L64" s="32"/>
    </row>
    <row r="65">
      <c r="D65" s="132"/>
      <c r="F65" s="132"/>
      <c r="L65" s="32"/>
    </row>
    <row r="66">
      <c r="D66" s="132"/>
      <c r="F66" s="132"/>
      <c r="L66" s="32"/>
    </row>
    <row r="67">
      <c r="D67" s="132"/>
      <c r="F67" s="132"/>
      <c r="L67" s="32"/>
    </row>
    <row r="68">
      <c r="D68" s="132"/>
      <c r="F68" s="132"/>
      <c r="L68" s="32"/>
    </row>
    <row r="69">
      <c r="D69" s="132"/>
      <c r="F69" s="132"/>
      <c r="L69" s="32"/>
    </row>
    <row r="70">
      <c r="D70" s="132"/>
      <c r="F70" s="132"/>
      <c r="L70" s="32"/>
    </row>
    <row r="71">
      <c r="D71" s="132"/>
      <c r="F71" s="132"/>
      <c r="L71" s="32"/>
    </row>
    <row r="72">
      <c r="D72" s="132"/>
      <c r="F72" s="132"/>
      <c r="L72" s="32"/>
    </row>
    <row r="73">
      <c r="D73" s="132"/>
      <c r="F73" s="132"/>
      <c r="L73" s="32"/>
    </row>
    <row r="74">
      <c r="D74" s="132"/>
      <c r="F74" s="132"/>
      <c r="L74" s="32"/>
    </row>
    <row r="75">
      <c r="D75" s="132"/>
      <c r="F75" s="132"/>
      <c r="L75" s="32"/>
    </row>
    <row r="76">
      <c r="D76" s="132"/>
      <c r="F76" s="132"/>
      <c r="L76" s="32"/>
    </row>
    <row r="77">
      <c r="D77" s="132"/>
      <c r="F77" s="132"/>
      <c r="L77" s="32"/>
    </row>
    <row r="78">
      <c r="D78" s="132"/>
      <c r="F78" s="132"/>
      <c r="L78" s="32"/>
    </row>
    <row r="79">
      <c r="D79" s="132"/>
      <c r="F79" s="132"/>
      <c r="L79" s="32"/>
    </row>
    <row r="80">
      <c r="D80" s="132"/>
      <c r="F80" s="132"/>
      <c r="L80" s="32"/>
    </row>
    <row r="81">
      <c r="D81" s="132"/>
      <c r="F81" s="132"/>
      <c r="L81" s="32"/>
    </row>
    <row r="82">
      <c r="D82" s="132"/>
      <c r="F82" s="132"/>
      <c r="L82" s="32"/>
    </row>
    <row r="83">
      <c r="D83" s="132"/>
      <c r="F83" s="132"/>
      <c r="L83" s="32"/>
    </row>
    <row r="84">
      <c r="D84" s="132"/>
      <c r="F84" s="132"/>
      <c r="L84" s="32"/>
    </row>
    <row r="85">
      <c r="D85" s="132"/>
      <c r="F85" s="132"/>
      <c r="L85" s="32"/>
    </row>
    <row r="86">
      <c r="D86" s="132"/>
      <c r="F86" s="132"/>
      <c r="L86" s="32"/>
    </row>
    <row r="87">
      <c r="D87" s="132"/>
      <c r="F87" s="132"/>
      <c r="L87" s="32"/>
    </row>
    <row r="88">
      <c r="D88" s="132"/>
      <c r="F88" s="132"/>
      <c r="L88" s="32"/>
    </row>
    <row r="89">
      <c r="D89" s="132"/>
      <c r="F89" s="132"/>
      <c r="L89" s="32"/>
    </row>
    <row r="90">
      <c r="D90" s="132"/>
      <c r="F90" s="132"/>
      <c r="L90" s="32"/>
    </row>
    <row r="91">
      <c r="D91" s="132"/>
      <c r="F91" s="132"/>
      <c r="L91" s="32"/>
    </row>
    <row r="92">
      <c r="D92" s="132"/>
      <c r="F92" s="132"/>
      <c r="L92" s="32"/>
    </row>
    <row r="93">
      <c r="D93" s="132"/>
      <c r="F93" s="132"/>
      <c r="L93" s="32"/>
    </row>
    <row r="94">
      <c r="D94" s="132"/>
      <c r="F94" s="132"/>
      <c r="L94" s="32"/>
    </row>
    <row r="95">
      <c r="D95" s="132"/>
      <c r="F95" s="132"/>
      <c r="L95" s="32"/>
    </row>
    <row r="96">
      <c r="D96" s="132"/>
      <c r="F96" s="132"/>
      <c r="L96" s="32"/>
    </row>
    <row r="97">
      <c r="D97" s="132"/>
      <c r="F97" s="132"/>
      <c r="L97" s="32"/>
    </row>
    <row r="98">
      <c r="D98" s="132"/>
      <c r="F98" s="132"/>
      <c r="L98" s="32"/>
    </row>
    <row r="99">
      <c r="D99" s="132"/>
      <c r="F99" s="132"/>
      <c r="L99" s="32"/>
    </row>
    <row r="100">
      <c r="D100" s="132"/>
      <c r="F100" s="132"/>
      <c r="L100" s="32"/>
    </row>
    <row r="101">
      <c r="D101" s="132"/>
      <c r="F101" s="132"/>
      <c r="L101" s="32"/>
    </row>
    <row r="102">
      <c r="D102" s="132"/>
      <c r="F102" s="132"/>
      <c r="L102" s="32"/>
    </row>
    <row r="103">
      <c r="D103" s="132"/>
      <c r="F103" s="132"/>
      <c r="L103" s="32"/>
    </row>
    <row r="104">
      <c r="D104" s="132"/>
      <c r="F104" s="132"/>
      <c r="L104" s="32"/>
    </row>
    <row r="105">
      <c r="D105" s="132"/>
      <c r="F105" s="132"/>
      <c r="L105" s="32"/>
    </row>
    <row r="106">
      <c r="D106" s="132"/>
      <c r="F106" s="132"/>
      <c r="L106" s="32"/>
    </row>
    <row r="107">
      <c r="D107" s="132"/>
      <c r="F107" s="132"/>
      <c r="L107" s="32"/>
    </row>
    <row r="108">
      <c r="D108" s="132"/>
      <c r="F108" s="132"/>
      <c r="L108" s="32"/>
    </row>
    <row r="109">
      <c r="D109" s="132"/>
      <c r="F109" s="132"/>
      <c r="L109" s="32"/>
    </row>
    <row r="110">
      <c r="D110" s="132"/>
      <c r="F110" s="132"/>
      <c r="L110" s="32"/>
    </row>
    <row r="111">
      <c r="D111" s="132"/>
      <c r="F111" s="132"/>
      <c r="L111" s="32"/>
    </row>
    <row r="112">
      <c r="D112" s="132"/>
      <c r="F112" s="132"/>
      <c r="L112" s="32"/>
    </row>
    <row r="113">
      <c r="D113" s="132"/>
      <c r="F113" s="132"/>
      <c r="L113" s="32"/>
    </row>
    <row r="114">
      <c r="D114" s="132"/>
      <c r="F114" s="132"/>
      <c r="L114" s="32"/>
    </row>
    <row r="115">
      <c r="D115" s="132"/>
      <c r="F115" s="132"/>
      <c r="L115" s="32"/>
    </row>
    <row r="116">
      <c r="D116" s="132"/>
      <c r="F116" s="132"/>
      <c r="L116" s="32"/>
    </row>
    <row r="117">
      <c r="D117" s="132"/>
      <c r="F117" s="132"/>
      <c r="L117" s="32"/>
    </row>
    <row r="118">
      <c r="D118" s="132"/>
      <c r="F118" s="132"/>
      <c r="L118" s="32"/>
    </row>
    <row r="119">
      <c r="D119" s="132"/>
      <c r="F119" s="132"/>
      <c r="L119" s="32"/>
    </row>
    <row r="120">
      <c r="D120" s="132"/>
      <c r="F120" s="132"/>
      <c r="L120" s="32"/>
    </row>
    <row r="121">
      <c r="D121" s="132"/>
      <c r="F121" s="132"/>
      <c r="L121" s="32"/>
    </row>
    <row r="122">
      <c r="D122" s="132"/>
      <c r="F122" s="132"/>
      <c r="L122" s="32"/>
    </row>
    <row r="123">
      <c r="D123" s="132"/>
      <c r="F123" s="132"/>
      <c r="L123" s="32"/>
    </row>
    <row r="124">
      <c r="D124" s="132"/>
      <c r="F124" s="132"/>
      <c r="L124" s="32"/>
    </row>
    <row r="125">
      <c r="D125" s="132"/>
      <c r="F125" s="132"/>
      <c r="L125" s="32"/>
    </row>
    <row r="126">
      <c r="D126" s="132"/>
      <c r="F126" s="132"/>
      <c r="L126" s="32"/>
    </row>
    <row r="127">
      <c r="D127" s="132"/>
      <c r="F127" s="132"/>
      <c r="L127" s="32"/>
    </row>
    <row r="128">
      <c r="D128" s="132"/>
      <c r="F128" s="132"/>
      <c r="L128" s="32"/>
    </row>
    <row r="129">
      <c r="D129" s="132"/>
      <c r="F129" s="132"/>
      <c r="L129" s="32"/>
    </row>
    <row r="130">
      <c r="D130" s="132"/>
      <c r="F130" s="132"/>
      <c r="L130" s="32"/>
    </row>
    <row r="131">
      <c r="D131" s="132"/>
      <c r="F131" s="132"/>
      <c r="L131" s="32"/>
    </row>
    <row r="132">
      <c r="D132" s="132"/>
      <c r="F132" s="132"/>
      <c r="L132" s="32"/>
    </row>
    <row r="133">
      <c r="D133" s="132"/>
      <c r="F133" s="132"/>
      <c r="L133" s="32"/>
    </row>
    <row r="134">
      <c r="D134" s="132"/>
      <c r="F134" s="132"/>
      <c r="L134" s="32"/>
    </row>
    <row r="135">
      <c r="D135" s="132"/>
      <c r="F135" s="132"/>
      <c r="L135" s="32"/>
    </row>
    <row r="136">
      <c r="D136" s="132"/>
      <c r="F136" s="132"/>
      <c r="L136" s="32"/>
    </row>
    <row r="137">
      <c r="D137" s="132"/>
      <c r="F137" s="132"/>
      <c r="L137" s="32"/>
    </row>
    <row r="138">
      <c r="D138" s="132"/>
      <c r="F138" s="132"/>
      <c r="L138" s="32"/>
    </row>
    <row r="139">
      <c r="D139" s="132"/>
      <c r="F139" s="132"/>
      <c r="L139" s="32"/>
    </row>
    <row r="140">
      <c r="D140" s="132"/>
      <c r="F140" s="132"/>
      <c r="L140" s="32"/>
    </row>
    <row r="141">
      <c r="D141" s="132"/>
      <c r="F141" s="132"/>
      <c r="L141" s="32"/>
    </row>
    <row r="142">
      <c r="D142" s="132"/>
      <c r="F142" s="132"/>
      <c r="L142" s="32"/>
    </row>
    <row r="143">
      <c r="D143" s="132"/>
      <c r="F143" s="132"/>
      <c r="L143" s="32"/>
    </row>
    <row r="144">
      <c r="D144" s="132"/>
      <c r="F144" s="132"/>
      <c r="L144" s="32"/>
    </row>
    <row r="145">
      <c r="D145" s="132"/>
      <c r="F145" s="132"/>
      <c r="L145" s="32"/>
    </row>
    <row r="146">
      <c r="D146" s="132"/>
      <c r="F146" s="132"/>
      <c r="L146" s="32"/>
    </row>
    <row r="147">
      <c r="D147" s="132"/>
      <c r="F147" s="132"/>
      <c r="L147" s="32"/>
    </row>
    <row r="148">
      <c r="D148" s="132"/>
      <c r="F148" s="132"/>
      <c r="L148" s="32"/>
    </row>
    <row r="149">
      <c r="D149" s="132"/>
      <c r="F149" s="132"/>
      <c r="L149" s="32"/>
    </row>
    <row r="150">
      <c r="D150" s="132"/>
      <c r="F150" s="132"/>
      <c r="L150" s="32"/>
    </row>
    <row r="151">
      <c r="D151" s="132"/>
      <c r="F151" s="132"/>
      <c r="L151" s="32"/>
    </row>
    <row r="152">
      <c r="D152" s="132"/>
      <c r="F152" s="132"/>
      <c r="L152" s="32"/>
    </row>
    <row r="153">
      <c r="D153" s="132"/>
      <c r="F153" s="132"/>
      <c r="L153" s="32"/>
    </row>
    <row r="154">
      <c r="D154" s="132"/>
      <c r="F154" s="132"/>
      <c r="L154" s="32"/>
    </row>
    <row r="155">
      <c r="D155" s="132"/>
      <c r="F155" s="132"/>
      <c r="L155" s="32"/>
    </row>
    <row r="156">
      <c r="D156" s="132"/>
      <c r="F156" s="132"/>
      <c r="L156" s="32"/>
    </row>
    <row r="157">
      <c r="D157" s="132"/>
      <c r="F157" s="132"/>
      <c r="L157" s="32"/>
    </row>
    <row r="158">
      <c r="D158" s="132"/>
      <c r="F158" s="132"/>
      <c r="L158" s="32"/>
    </row>
    <row r="159">
      <c r="D159" s="132"/>
      <c r="F159" s="132"/>
      <c r="L159" s="32"/>
    </row>
    <row r="160">
      <c r="D160" s="132"/>
      <c r="F160" s="132"/>
      <c r="L160" s="32"/>
    </row>
    <row r="161">
      <c r="D161" s="132"/>
      <c r="F161" s="132"/>
      <c r="L161" s="32"/>
    </row>
    <row r="162">
      <c r="D162" s="132"/>
      <c r="F162" s="132"/>
      <c r="L162" s="32"/>
    </row>
    <row r="163">
      <c r="D163" s="132"/>
      <c r="F163" s="132"/>
      <c r="L163" s="32"/>
    </row>
    <row r="164">
      <c r="D164" s="132"/>
      <c r="F164" s="132"/>
      <c r="L164" s="32"/>
    </row>
    <row r="165">
      <c r="D165" s="132"/>
      <c r="F165" s="132"/>
      <c r="L165" s="32"/>
    </row>
    <row r="166">
      <c r="D166" s="132"/>
      <c r="F166" s="132"/>
      <c r="L166" s="32"/>
    </row>
    <row r="167">
      <c r="D167" s="132"/>
      <c r="F167" s="132"/>
      <c r="L167" s="32"/>
    </row>
    <row r="168">
      <c r="D168" s="132"/>
      <c r="F168" s="132"/>
      <c r="L168" s="32"/>
    </row>
    <row r="169">
      <c r="D169" s="132"/>
      <c r="F169" s="132"/>
      <c r="L169" s="32"/>
    </row>
    <row r="170">
      <c r="D170" s="132"/>
      <c r="F170" s="132"/>
      <c r="L170" s="32"/>
    </row>
    <row r="171">
      <c r="D171" s="132"/>
      <c r="F171" s="132"/>
      <c r="L171" s="32"/>
    </row>
    <row r="172">
      <c r="D172" s="132"/>
      <c r="F172" s="132"/>
      <c r="L172" s="32"/>
    </row>
    <row r="173">
      <c r="D173" s="132"/>
      <c r="F173" s="132"/>
      <c r="L173" s="32"/>
    </row>
    <row r="174">
      <c r="D174" s="132"/>
      <c r="F174" s="132"/>
      <c r="L174" s="32"/>
    </row>
    <row r="175">
      <c r="D175" s="132"/>
      <c r="F175" s="132"/>
      <c r="L175" s="32"/>
    </row>
    <row r="176">
      <c r="D176" s="132"/>
      <c r="F176" s="132"/>
      <c r="L176" s="32"/>
    </row>
    <row r="177">
      <c r="D177" s="132"/>
      <c r="F177" s="132"/>
      <c r="L177" s="32"/>
    </row>
    <row r="178">
      <c r="D178" s="132"/>
      <c r="F178" s="132"/>
      <c r="L178" s="32"/>
    </row>
    <row r="179">
      <c r="D179" s="132"/>
      <c r="F179" s="132"/>
      <c r="L179" s="32"/>
    </row>
    <row r="180">
      <c r="D180" s="132"/>
      <c r="F180" s="132"/>
      <c r="L180" s="32"/>
    </row>
    <row r="181">
      <c r="D181" s="132"/>
      <c r="F181" s="132"/>
      <c r="L181" s="32"/>
    </row>
    <row r="182">
      <c r="D182" s="132"/>
      <c r="F182" s="132"/>
      <c r="L182" s="32"/>
    </row>
    <row r="183">
      <c r="D183" s="132"/>
      <c r="F183" s="132"/>
      <c r="L183" s="32"/>
    </row>
    <row r="184">
      <c r="D184" s="132"/>
      <c r="F184" s="132"/>
      <c r="L184" s="32"/>
    </row>
    <row r="185">
      <c r="D185" s="132"/>
      <c r="F185" s="132"/>
      <c r="L185" s="32"/>
    </row>
    <row r="186">
      <c r="D186" s="132"/>
      <c r="F186" s="132"/>
      <c r="L186" s="32"/>
    </row>
    <row r="187">
      <c r="D187" s="132"/>
      <c r="F187" s="132"/>
      <c r="L187" s="32"/>
    </row>
    <row r="188">
      <c r="D188" s="132"/>
      <c r="F188" s="132"/>
      <c r="L188" s="32"/>
    </row>
    <row r="189">
      <c r="D189" s="132"/>
      <c r="F189" s="132"/>
      <c r="L189" s="32"/>
    </row>
    <row r="190">
      <c r="D190" s="132"/>
      <c r="F190" s="132"/>
      <c r="L190" s="32"/>
    </row>
    <row r="191">
      <c r="D191" s="132"/>
      <c r="F191" s="132"/>
      <c r="L191" s="32"/>
    </row>
    <row r="192">
      <c r="D192" s="132"/>
      <c r="F192" s="132"/>
      <c r="L192" s="32"/>
    </row>
    <row r="193">
      <c r="D193" s="132"/>
      <c r="F193" s="132"/>
      <c r="L193" s="32"/>
    </row>
    <row r="194">
      <c r="D194" s="132"/>
      <c r="F194" s="132"/>
      <c r="L194" s="32"/>
    </row>
    <row r="195">
      <c r="D195" s="132"/>
      <c r="F195" s="132"/>
      <c r="L195" s="32"/>
    </row>
    <row r="196">
      <c r="D196" s="132"/>
      <c r="F196" s="132"/>
      <c r="L196" s="32"/>
    </row>
    <row r="197">
      <c r="D197" s="132"/>
      <c r="F197" s="132"/>
      <c r="L197" s="32"/>
    </row>
    <row r="198">
      <c r="D198" s="132"/>
      <c r="F198" s="132"/>
      <c r="L198" s="32"/>
    </row>
    <row r="199">
      <c r="D199" s="132"/>
      <c r="F199" s="132"/>
      <c r="L199" s="32"/>
    </row>
    <row r="200">
      <c r="D200" s="132"/>
      <c r="F200" s="132"/>
      <c r="L200" s="32"/>
    </row>
    <row r="201">
      <c r="D201" s="132"/>
      <c r="F201" s="132"/>
      <c r="L201" s="32"/>
    </row>
    <row r="202">
      <c r="D202" s="132"/>
      <c r="F202" s="132"/>
      <c r="L202" s="32"/>
    </row>
    <row r="203">
      <c r="D203" s="132"/>
      <c r="F203" s="132"/>
      <c r="L203" s="32"/>
    </row>
    <row r="204">
      <c r="D204" s="132"/>
      <c r="F204" s="132"/>
      <c r="L204" s="32"/>
    </row>
    <row r="205">
      <c r="D205" s="132"/>
      <c r="F205" s="132"/>
      <c r="L205" s="32"/>
    </row>
    <row r="206">
      <c r="D206" s="132"/>
      <c r="F206" s="132"/>
      <c r="L206" s="32"/>
    </row>
    <row r="207">
      <c r="D207" s="132"/>
      <c r="F207" s="132"/>
      <c r="L207" s="32"/>
    </row>
    <row r="208">
      <c r="D208" s="132"/>
      <c r="F208" s="132"/>
      <c r="L208" s="32"/>
    </row>
    <row r="209">
      <c r="D209" s="132"/>
      <c r="F209" s="132"/>
      <c r="L209" s="32"/>
    </row>
    <row r="210">
      <c r="D210" s="132"/>
      <c r="F210" s="132"/>
      <c r="L210" s="32"/>
    </row>
    <row r="211">
      <c r="D211" s="132"/>
      <c r="F211" s="132"/>
      <c r="L211" s="32"/>
    </row>
    <row r="212">
      <c r="D212" s="132"/>
      <c r="F212" s="132"/>
      <c r="L212" s="32"/>
    </row>
    <row r="213">
      <c r="D213" s="132"/>
      <c r="F213" s="132"/>
      <c r="L213" s="32"/>
    </row>
    <row r="214">
      <c r="D214" s="132"/>
      <c r="F214" s="132"/>
      <c r="L214" s="32"/>
    </row>
    <row r="215">
      <c r="D215" s="132"/>
      <c r="F215" s="132"/>
      <c r="L215" s="32"/>
    </row>
    <row r="216">
      <c r="D216" s="132"/>
      <c r="F216" s="132"/>
      <c r="L216" s="32"/>
    </row>
    <row r="217">
      <c r="D217" s="132"/>
      <c r="F217" s="132"/>
      <c r="L217" s="32"/>
    </row>
    <row r="218">
      <c r="D218" s="132"/>
      <c r="F218" s="132"/>
      <c r="L218" s="32"/>
    </row>
    <row r="219">
      <c r="D219" s="132"/>
      <c r="F219" s="132"/>
      <c r="L219" s="32"/>
    </row>
    <row r="220">
      <c r="D220" s="132"/>
      <c r="F220" s="132"/>
      <c r="L220" s="32"/>
    </row>
    <row r="221">
      <c r="D221" s="132"/>
      <c r="F221" s="132"/>
      <c r="L221" s="32"/>
    </row>
    <row r="222">
      <c r="D222" s="132"/>
      <c r="F222" s="132"/>
      <c r="L222" s="32"/>
    </row>
    <row r="223">
      <c r="D223" s="132"/>
      <c r="F223" s="132"/>
      <c r="L223" s="32"/>
    </row>
    <row r="224">
      <c r="D224" s="132"/>
      <c r="F224" s="132"/>
      <c r="L224" s="32"/>
    </row>
    <row r="225">
      <c r="D225" s="132"/>
      <c r="F225" s="132"/>
      <c r="L225" s="32"/>
    </row>
    <row r="226">
      <c r="D226" s="132"/>
      <c r="F226" s="132"/>
      <c r="L226" s="32"/>
    </row>
    <row r="227">
      <c r="D227" s="132"/>
      <c r="F227" s="132"/>
      <c r="L227" s="32"/>
    </row>
    <row r="228">
      <c r="D228" s="132"/>
      <c r="F228" s="132"/>
      <c r="L228" s="32"/>
    </row>
    <row r="229">
      <c r="D229" s="132"/>
      <c r="F229" s="132"/>
      <c r="L229" s="32"/>
    </row>
    <row r="230">
      <c r="D230" s="132"/>
      <c r="F230" s="132"/>
      <c r="L230" s="32"/>
    </row>
    <row r="231">
      <c r="D231" s="132"/>
      <c r="F231" s="132"/>
      <c r="L231" s="32"/>
    </row>
    <row r="232">
      <c r="D232" s="132"/>
      <c r="F232" s="132"/>
      <c r="L232" s="32"/>
    </row>
    <row r="233">
      <c r="D233" s="132"/>
      <c r="F233" s="132"/>
      <c r="L233" s="32"/>
    </row>
    <row r="234">
      <c r="D234" s="132"/>
      <c r="F234" s="132"/>
      <c r="L234" s="32"/>
    </row>
    <row r="235">
      <c r="D235" s="132"/>
      <c r="F235" s="132"/>
      <c r="L235" s="32"/>
    </row>
    <row r="236">
      <c r="D236" s="132"/>
      <c r="F236" s="132"/>
      <c r="L236" s="32"/>
    </row>
    <row r="237">
      <c r="D237" s="132"/>
      <c r="F237" s="132"/>
      <c r="L237" s="32"/>
    </row>
    <row r="238">
      <c r="D238" s="132"/>
      <c r="F238" s="132"/>
      <c r="L238" s="32"/>
    </row>
    <row r="239">
      <c r="D239" s="132"/>
      <c r="F239" s="132"/>
      <c r="L239" s="32"/>
    </row>
    <row r="240">
      <c r="D240" s="132"/>
      <c r="F240" s="132"/>
      <c r="L240" s="32"/>
    </row>
    <row r="241">
      <c r="D241" s="132"/>
      <c r="F241" s="132"/>
      <c r="L241" s="32"/>
    </row>
    <row r="242">
      <c r="D242" s="132"/>
      <c r="F242" s="132"/>
      <c r="L242" s="32"/>
    </row>
    <row r="243">
      <c r="D243" s="132"/>
      <c r="F243" s="132"/>
      <c r="L243" s="32"/>
    </row>
    <row r="244">
      <c r="D244" s="132"/>
      <c r="F244" s="132"/>
      <c r="L244" s="32"/>
    </row>
    <row r="245">
      <c r="D245" s="132"/>
      <c r="F245" s="132"/>
      <c r="L245" s="32"/>
    </row>
    <row r="246">
      <c r="D246" s="132"/>
      <c r="F246" s="132"/>
      <c r="L246" s="32"/>
    </row>
    <row r="247">
      <c r="D247" s="132"/>
      <c r="F247" s="132"/>
      <c r="L247" s="32"/>
    </row>
    <row r="248">
      <c r="D248" s="132"/>
      <c r="F248" s="132"/>
      <c r="L248" s="32"/>
    </row>
    <row r="249">
      <c r="D249" s="132"/>
      <c r="F249" s="132"/>
      <c r="L249" s="32"/>
    </row>
    <row r="250">
      <c r="D250" s="132"/>
      <c r="F250" s="132"/>
      <c r="L250" s="32"/>
    </row>
    <row r="251">
      <c r="D251" s="132"/>
      <c r="F251" s="132"/>
      <c r="L251" s="32"/>
    </row>
    <row r="252">
      <c r="D252" s="132"/>
      <c r="F252" s="132"/>
      <c r="L252" s="32"/>
    </row>
    <row r="253">
      <c r="D253" s="132"/>
      <c r="F253" s="132"/>
      <c r="L253" s="32"/>
    </row>
    <row r="254">
      <c r="D254" s="132"/>
      <c r="F254" s="132"/>
      <c r="L254" s="32"/>
    </row>
    <row r="255">
      <c r="D255" s="132"/>
      <c r="F255" s="132"/>
      <c r="L255" s="32"/>
    </row>
    <row r="256">
      <c r="D256" s="132"/>
      <c r="F256" s="132"/>
      <c r="L256" s="32"/>
    </row>
    <row r="257">
      <c r="D257" s="132"/>
      <c r="F257" s="132"/>
      <c r="L257" s="32"/>
    </row>
    <row r="258">
      <c r="D258" s="132"/>
      <c r="F258" s="132"/>
      <c r="L258" s="32"/>
    </row>
    <row r="259">
      <c r="D259" s="132"/>
      <c r="F259" s="132"/>
      <c r="L259" s="32"/>
    </row>
    <row r="260">
      <c r="D260" s="132"/>
      <c r="F260" s="132"/>
      <c r="L260" s="32"/>
    </row>
    <row r="261">
      <c r="D261" s="132"/>
      <c r="F261" s="132"/>
      <c r="L261" s="32"/>
    </row>
    <row r="262">
      <c r="D262" s="132"/>
      <c r="F262" s="132"/>
      <c r="L262" s="32"/>
    </row>
    <row r="263">
      <c r="D263" s="132"/>
      <c r="F263" s="132"/>
      <c r="L263" s="32"/>
    </row>
    <row r="264">
      <c r="D264" s="132"/>
      <c r="F264" s="132"/>
      <c r="L264" s="32"/>
    </row>
    <row r="265">
      <c r="D265" s="132"/>
      <c r="F265" s="132"/>
      <c r="L265" s="32"/>
    </row>
    <row r="266">
      <c r="D266" s="132"/>
      <c r="F266" s="132"/>
      <c r="L266" s="32"/>
    </row>
    <row r="267">
      <c r="D267" s="132"/>
      <c r="F267" s="132"/>
      <c r="L267" s="32"/>
    </row>
    <row r="268">
      <c r="D268" s="132"/>
      <c r="F268" s="132"/>
      <c r="L268" s="32"/>
    </row>
    <row r="269">
      <c r="D269" s="132"/>
      <c r="F269" s="132"/>
      <c r="L269" s="32"/>
    </row>
    <row r="270">
      <c r="D270" s="132"/>
      <c r="F270" s="132"/>
      <c r="L270" s="32"/>
    </row>
    <row r="271">
      <c r="D271" s="132"/>
      <c r="F271" s="132"/>
      <c r="L271" s="32"/>
    </row>
    <row r="272">
      <c r="D272" s="132"/>
      <c r="F272" s="132"/>
      <c r="L272" s="32"/>
    </row>
    <row r="273">
      <c r="D273" s="132"/>
      <c r="F273" s="132"/>
      <c r="L273" s="32"/>
    </row>
    <row r="274">
      <c r="D274" s="132"/>
      <c r="F274" s="132"/>
      <c r="L274" s="32"/>
    </row>
    <row r="275">
      <c r="D275" s="132"/>
      <c r="F275" s="132"/>
      <c r="L275" s="32"/>
    </row>
    <row r="276">
      <c r="D276" s="132"/>
      <c r="F276" s="132"/>
      <c r="L276" s="32"/>
    </row>
    <row r="277">
      <c r="D277" s="132"/>
      <c r="F277" s="132"/>
      <c r="L277" s="32"/>
    </row>
    <row r="278">
      <c r="D278" s="132"/>
      <c r="F278" s="132"/>
      <c r="L278" s="32"/>
    </row>
    <row r="279">
      <c r="D279" s="132"/>
      <c r="F279" s="132"/>
      <c r="L279" s="32"/>
    </row>
    <row r="280">
      <c r="D280" s="132"/>
      <c r="F280" s="132"/>
      <c r="L280" s="32"/>
    </row>
    <row r="281">
      <c r="D281" s="132"/>
      <c r="F281" s="132"/>
      <c r="L281" s="32"/>
    </row>
    <row r="282">
      <c r="D282" s="132"/>
      <c r="F282" s="132"/>
      <c r="L282" s="32"/>
    </row>
    <row r="283">
      <c r="D283" s="132"/>
      <c r="F283" s="132"/>
      <c r="L283" s="32"/>
    </row>
    <row r="284">
      <c r="D284" s="132"/>
      <c r="F284" s="132"/>
      <c r="L284" s="32"/>
    </row>
    <row r="285">
      <c r="D285" s="132"/>
      <c r="F285" s="132"/>
      <c r="L285" s="32"/>
    </row>
    <row r="286">
      <c r="D286" s="132"/>
      <c r="F286" s="132"/>
      <c r="L286" s="32"/>
    </row>
    <row r="287">
      <c r="D287" s="132"/>
      <c r="F287" s="132"/>
      <c r="L287" s="32"/>
    </row>
    <row r="288">
      <c r="D288" s="132"/>
      <c r="F288" s="132"/>
      <c r="L288" s="32"/>
    </row>
    <row r="289">
      <c r="D289" s="132"/>
      <c r="F289" s="132"/>
      <c r="L289" s="32"/>
    </row>
    <row r="290">
      <c r="D290" s="132"/>
      <c r="F290" s="132"/>
      <c r="L290" s="32"/>
    </row>
    <row r="291">
      <c r="D291" s="132"/>
      <c r="F291" s="132"/>
      <c r="L291" s="32"/>
    </row>
    <row r="292">
      <c r="D292" s="132"/>
      <c r="F292" s="132"/>
      <c r="L292" s="32"/>
    </row>
    <row r="293">
      <c r="D293" s="132"/>
      <c r="F293" s="132"/>
      <c r="L293" s="32"/>
    </row>
    <row r="294">
      <c r="D294" s="132"/>
      <c r="F294" s="132"/>
      <c r="L294" s="32"/>
    </row>
    <row r="295">
      <c r="D295" s="132"/>
      <c r="F295" s="132"/>
      <c r="L295" s="32"/>
    </row>
    <row r="296">
      <c r="D296" s="132"/>
      <c r="F296" s="132"/>
      <c r="L296" s="32"/>
    </row>
    <row r="297">
      <c r="D297" s="132"/>
      <c r="F297" s="132"/>
      <c r="L297" s="32"/>
    </row>
    <row r="298">
      <c r="D298" s="132"/>
      <c r="F298" s="132"/>
      <c r="L298" s="32"/>
    </row>
    <row r="299">
      <c r="D299" s="132"/>
      <c r="F299" s="132"/>
      <c r="L299" s="32"/>
    </row>
    <row r="300">
      <c r="D300" s="132"/>
      <c r="F300" s="132"/>
      <c r="L300" s="32"/>
    </row>
    <row r="301">
      <c r="D301" s="132"/>
      <c r="F301" s="132"/>
      <c r="L301" s="32"/>
    </row>
    <row r="302">
      <c r="D302" s="132"/>
      <c r="F302" s="132"/>
      <c r="L302" s="32"/>
    </row>
    <row r="303">
      <c r="D303" s="132"/>
      <c r="F303" s="132"/>
      <c r="L303" s="32"/>
    </row>
    <row r="304">
      <c r="D304" s="132"/>
      <c r="F304" s="132"/>
      <c r="L304" s="32"/>
    </row>
    <row r="305">
      <c r="D305" s="132"/>
      <c r="F305" s="132"/>
      <c r="L305" s="32"/>
    </row>
    <row r="306">
      <c r="D306" s="132"/>
      <c r="F306" s="132"/>
      <c r="L306" s="32"/>
    </row>
    <row r="307">
      <c r="D307" s="132"/>
      <c r="F307" s="132"/>
      <c r="L307" s="32"/>
    </row>
    <row r="308">
      <c r="D308" s="132"/>
      <c r="F308" s="132"/>
      <c r="L308" s="32"/>
    </row>
    <row r="309">
      <c r="D309" s="132"/>
      <c r="F309" s="132"/>
      <c r="L309" s="32"/>
    </row>
    <row r="310">
      <c r="D310" s="132"/>
      <c r="F310" s="132"/>
      <c r="L310" s="32"/>
    </row>
    <row r="311">
      <c r="D311" s="132"/>
      <c r="F311" s="132"/>
      <c r="L311" s="32"/>
    </row>
    <row r="312">
      <c r="D312" s="132"/>
      <c r="F312" s="132"/>
      <c r="L312" s="32"/>
    </row>
    <row r="313">
      <c r="D313" s="132"/>
      <c r="F313" s="132"/>
      <c r="L313" s="32"/>
    </row>
    <row r="314">
      <c r="D314" s="132"/>
      <c r="F314" s="132"/>
      <c r="L314" s="32"/>
    </row>
    <row r="315">
      <c r="D315" s="132"/>
      <c r="F315" s="132"/>
      <c r="L315" s="32"/>
    </row>
    <row r="316">
      <c r="D316" s="132"/>
      <c r="F316" s="132"/>
      <c r="L316" s="32"/>
    </row>
    <row r="317">
      <c r="D317" s="132"/>
      <c r="F317" s="132"/>
      <c r="L317" s="32"/>
    </row>
    <row r="318">
      <c r="D318" s="132"/>
      <c r="F318" s="132"/>
      <c r="L318" s="32"/>
    </row>
    <row r="319">
      <c r="D319" s="132"/>
      <c r="F319" s="132"/>
      <c r="L319" s="32"/>
    </row>
    <row r="320">
      <c r="D320" s="132"/>
      <c r="F320" s="132"/>
      <c r="L320" s="32"/>
    </row>
    <row r="321">
      <c r="D321" s="132"/>
      <c r="F321" s="132"/>
      <c r="L321" s="32"/>
    </row>
    <row r="322">
      <c r="D322" s="132"/>
      <c r="F322" s="132"/>
      <c r="L322" s="32"/>
    </row>
    <row r="323">
      <c r="D323" s="132"/>
      <c r="F323" s="132"/>
      <c r="L323" s="32"/>
    </row>
    <row r="324">
      <c r="D324" s="132"/>
      <c r="F324" s="132"/>
      <c r="L324" s="32"/>
    </row>
    <row r="325">
      <c r="D325" s="132"/>
      <c r="F325" s="132"/>
      <c r="L325" s="32"/>
    </row>
    <row r="326">
      <c r="D326" s="132"/>
      <c r="F326" s="132"/>
      <c r="L326" s="32"/>
    </row>
    <row r="327">
      <c r="D327" s="132"/>
      <c r="F327" s="132"/>
      <c r="L327" s="32"/>
    </row>
    <row r="328">
      <c r="D328" s="132"/>
      <c r="F328" s="132"/>
      <c r="L328" s="32"/>
    </row>
    <row r="329">
      <c r="D329" s="132"/>
      <c r="F329" s="132"/>
      <c r="L329" s="32"/>
    </row>
    <row r="330">
      <c r="D330" s="132"/>
      <c r="F330" s="132"/>
      <c r="L330" s="32"/>
    </row>
    <row r="331">
      <c r="D331" s="132"/>
      <c r="F331" s="132"/>
      <c r="L331" s="32"/>
    </row>
    <row r="332">
      <c r="D332" s="132"/>
      <c r="F332" s="132"/>
      <c r="L332" s="32"/>
    </row>
    <row r="333">
      <c r="D333" s="132"/>
      <c r="F333" s="132"/>
      <c r="L333" s="32"/>
    </row>
    <row r="334">
      <c r="D334" s="132"/>
      <c r="F334" s="132"/>
      <c r="L334" s="32"/>
    </row>
    <row r="335">
      <c r="D335" s="132"/>
      <c r="F335" s="132"/>
      <c r="L335" s="32"/>
    </row>
    <row r="336">
      <c r="D336" s="132"/>
      <c r="F336" s="132"/>
      <c r="L336" s="32"/>
    </row>
    <row r="337">
      <c r="D337" s="132"/>
      <c r="F337" s="132"/>
      <c r="L337" s="32"/>
    </row>
    <row r="338">
      <c r="D338" s="132"/>
      <c r="F338" s="132"/>
      <c r="L338" s="32"/>
    </row>
    <row r="339">
      <c r="D339" s="132"/>
      <c r="F339" s="132"/>
      <c r="L339" s="32"/>
    </row>
    <row r="340">
      <c r="D340" s="132"/>
      <c r="F340" s="132"/>
      <c r="L340" s="32"/>
    </row>
    <row r="341">
      <c r="D341" s="132"/>
      <c r="F341" s="132"/>
      <c r="L341" s="32"/>
    </row>
    <row r="342">
      <c r="D342" s="132"/>
      <c r="F342" s="132"/>
      <c r="L342" s="32"/>
    </row>
    <row r="343">
      <c r="D343" s="132"/>
      <c r="F343" s="132"/>
      <c r="L343" s="32"/>
    </row>
    <row r="344">
      <c r="D344" s="132"/>
      <c r="F344" s="132"/>
      <c r="L344" s="32"/>
    </row>
    <row r="345">
      <c r="D345" s="132"/>
      <c r="F345" s="132"/>
      <c r="L345" s="32"/>
    </row>
    <row r="346">
      <c r="D346" s="132"/>
      <c r="F346" s="132"/>
      <c r="L346" s="32"/>
    </row>
    <row r="347">
      <c r="D347" s="132"/>
      <c r="F347" s="132"/>
      <c r="L347" s="32"/>
    </row>
    <row r="348">
      <c r="D348" s="132"/>
      <c r="F348" s="132"/>
      <c r="L348" s="32"/>
    </row>
    <row r="349">
      <c r="D349" s="132"/>
      <c r="F349" s="132"/>
      <c r="L349" s="32"/>
    </row>
    <row r="350">
      <c r="D350" s="132"/>
      <c r="F350" s="132"/>
      <c r="L350" s="32"/>
    </row>
    <row r="351">
      <c r="D351" s="132"/>
      <c r="F351" s="132"/>
      <c r="L351" s="32"/>
    </row>
    <row r="352">
      <c r="D352" s="132"/>
      <c r="F352" s="132"/>
      <c r="L352" s="32"/>
    </row>
    <row r="353">
      <c r="D353" s="132"/>
      <c r="F353" s="132"/>
      <c r="L353" s="32"/>
    </row>
    <row r="354">
      <c r="D354" s="132"/>
      <c r="F354" s="132"/>
      <c r="L354" s="32"/>
    </row>
    <row r="355">
      <c r="D355" s="132"/>
      <c r="F355" s="132"/>
      <c r="L355" s="32"/>
    </row>
    <row r="356">
      <c r="D356" s="132"/>
      <c r="F356" s="132"/>
      <c r="L356" s="32"/>
    </row>
    <row r="357">
      <c r="D357" s="132"/>
      <c r="F357" s="132"/>
      <c r="L357" s="32"/>
    </row>
    <row r="358">
      <c r="D358" s="132"/>
      <c r="F358" s="132"/>
      <c r="L358" s="32"/>
    </row>
    <row r="359">
      <c r="D359" s="132"/>
      <c r="F359" s="132"/>
      <c r="L359" s="32"/>
    </row>
    <row r="360">
      <c r="D360" s="132"/>
      <c r="F360" s="132"/>
      <c r="L360" s="32"/>
    </row>
    <row r="361">
      <c r="D361" s="132"/>
      <c r="F361" s="132"/>
      <c r="L361" s="32"/>
    </row>
    <row r="362">
      <c r="D362" s="132"/>
      <c r="F362" s="132"/>
      <c r="L362" s="32"/>
    </row>
    <row r="363">
      <c r="D363" s="132"/>
      <c r="F363" s="132"/>
      <c r="L363" s="32"/>
    </row>
    <row r="364">
      <c r="D364" s="132"/>
      <c r="F364" s="132"/>
      <c r="L364" s="32"/>
    </row>
    <row r="365">
      <c r="D365" s="132"/>
      <c r="F365" s="132"/>
      <c r="L365" s="32"/>
    </row>
    <row r="366">
      <c r="D366" s="132"/>
      <c r="F366" s="132"/>
      <c r="L366" s="32"/>
    </row>
    <row r="367">
      <c r="D367" s="132"/>
      <c r="F367" s="132"/>
      <c r="L367" s="32"/>
    </row>
    <row r="368">
      <c r="D368" s="132"/>
      <c r="F368" s="132"/>
      <c r="L368" s="32"/>
    </row>
    <row r="369">
      <c r="D369" s="132"/>
      <c r="F369" s="132"/>
      <c r="L369" s="32"/>
    </row>
    <row r="370">
      <c r="D370" s="132"/>
      <c r="F370" s="132"/>
      <c r="L370" s="32"/>
    </row>
    <row r="371">
      <c r="D371" s="132"/>
      <c r="F371" s="132"/>
      <c r="L371" s="32"/>
    </row>
    <row r="372">
      <c r="D372" s="132"/>
      <c r="F372" s="132"/>
      <c r="L372" s="32"/>
    </row>
    <row r="373">
      <c r="D373" s="132"/>
      <c r="F373" s="132"/>
      <c r="L373" s="32"/>
    </row>
    <row r="374">
      <c r="D374" s="132"/>
      <c r="F374" s="132"/>
      <c r="L374" s="32"/>
    </row>
    <row r="375">
      <c r="D375" s="132"/>
      <c r="F375" s="132"/>
      <c r="L375" s="32"/>
    </row>
    <row r="376">
      <c r="D376" s="132"/>
      <c r="F376" s="132"/>
      <c r="L376" s="32"/>
    </row>
    <row r="377">
      <c r="D377" s="132"/>
      <c r="F377" s="132"/>
      <c r="L377" s="32"/>
    </row>
    <row r="378">
      <c r="D378" s="132"/>
      <c r="F378" s="132"/>
      <c r="L378" s="32"/>
    </row>
    <row r="379">
      <c r="D379" s="132"/>
      <c r="F379" s="132"/>
      <c r="L379" s="32"/>
    </row>
    <row r="380">
      <c r="D380" s="132"/>
      <c r="F380" s="132"/>
      <c r="L380" s="32"/>
    </row>
    <row r="381">
      <c r="D381" s="132"/>
      <c r="F381" s="132"/>
      <c r="L381" s="32"/>
    </row>
    <row r="382">
      <c r="D382" s="132"/>
      <c r="F382" s="132"/>
      <c r="L382" s="32"/>
    </row>
    <row r="383">
      <c r="D383" s="132"/>
      <c r="F383" s="132"/>
      <c r="L383" s="32"/>
    </row>
    <row r="384">
      <c r="D384" s="132"/>
      <c r="F384" s="132"/>
      <c r="L384" s="32"/>
    </row>
    <row r="385">
      <c r="D385" s="132"/>
      <c r="F385" s="132"/>
      <c r="L385" s="32"/>
    </row>
    <row r="386">
      <c r="D386" s="132"/>
      <c r="F386" s="132"/>
      <c r="L386" s="32"/>
    </row>
    <row r="387">
      <c r="D387" s="132"/>
      <c r="F387" s="132"/>
      <c r="L387" s="32"/>
    </row>
    <row r="388">
      <c r="D388" s="132"/>
      <c r="F388" s="132"/>
      <c r="L388" s="32"/>
    </row>
    <row r="389">
      <c r="D389" s="132"/>
      <c r="F389" s="132"/>
      <c r="L389" s="32"/>
    </row>
    <row r="390">
      <c r="D390" s="132"/>
      <c r="F390" s="132"/>
      <c r="L390" s="32"/>
    </row>
    <row r="391">
      <c r="D391" s="132"/>
      <c r="F391" s="132"/>
      <c r="L391" s="32"/>
    </row>
    <row r="392">
      <c r="D392" s="132"/>
      <c r="F392" s="132"/>
      <c r="L392" s="32"/>
    </row>
    <row r="393">
      <c r="D393" s="132"/>
      <c r="F393" s="132"/>
      <c r="L393" s="32"/>
    </row>
    <row r="394">
      <c r="D394" s="132"/>
      <c r="F394" s="132"/>
      <c r="L394" s="32"/>
    </row>
    <row r="395">
      <c r="D395" s="132"/>
      <c r="F395" s="132"/>
      <c r="L395" s="32"/>
    </row>
    <row r="396">
      <c r="D396" s="132"/>
      <c r="F396" s="132"/>
      <c r="L396" s="32"/>
    </row>
    <row r="397">
      <c r="D397" s="132"/>
      <c r="F397" s="132"/>
      <c r="L397" s="32"/>
    </row>
    <row r="398">
      <c r="D398" s="132"/>
      <c r="F398" s="132"/>
      <c r="L398" s="32"/>
    </row>
    <row r="399">
      <c r="D399" s="132"/>
      <c r="F399" s="132"/>
      <c r="L399" s="32"/>
    </row>
    <row r="400">
      <c r="D400" s="132"/>
      <c r="F400" s="132"/>
      <c r="L400" s="32"/>
    </row>
    <row r="401">
      <c r="D401" s="132"/>
      <c r="F401" s="132"/>
      <c r="L401" s="32"/>
    </row>
    <row r="402">
      <c r="D402" s="132"/>
      <c r="F402" s="132"/>
      <c r="L402" s="32"/>
    </row>
    <row r="403">
      <c r="D403" s="132"/>
      <c r="F403" s="132"/>
      <c r="L403" s="32"/>
    </row>
    <row r="404">
      <c r="D404" s="132"/>
      <c r="F404" s="132"/>
      <c r="L404" s="32"/>
    </row>
    <row r="405">
      <c r="D405" s="132"/>
      <c r="F405" s="132"/>
      <c r="L405" s="32"/>
    </row>
    <row r="406">
      <c r="D406" s="132"/>
      <c r="F406" s="132"/>
      <c r="L406" s="32"/>
    </row>
    <row r="407">
      <c r="D407" s="132"/>
      <c r="F407" s="132"/>
      <c r="L407" s="32"/>
    </row>
    <row r="408">
      <c r="D408" s="132"/>
      <c r="F408" s="132"/>
      <c r="L408" s="32"/>
    </row>
    <row r="409">
      <c r="D409" s="132"/>
      <c r="F409" s="132"/>
      <c r="L409" s="32"/>
    </row>
    <row r="410">
      <c r="D410" s="132"/>
      <c r="F410" s="132"/>
      <c r="L410" s="32"/>
    </row>
    <row r="411">
      <c r="D411" s="132"/>
      <c r="F411" s="132"/>
      <c r="L411" s="32"/>
    </row>
    <row r="412">
      <c r="D412" s="132"/>
      <c r="F412" s="132"/>
      <c r="L412" s="32"/>
    </row>
    <row r="413">
      <c r="D413" s="132"/>
      <c r="F413" s="132"/>
      <c r="L413" s="32"/>
    </row>
    <row r="414">
      <c r="D414" s="132"/>
      <c r="F414" s="132"/>
      <c r="L414" s="32"/>
    </row>
    <row r="415">
      <c r="D415" s="132"/>
      <c r="F415" s="132"/>
      <c r="L415" s="32"/>
    </row>
    <row r="416">
      <c r="D416" s="132"/>
      <c r="F416" s="132"/>
      <c r="L416" s="32"/>
    </row>
    <row r="417">
      <c r="D417" s="132"/>
      <c r="F417" s="132"/>
      <c r="L417" s="32"/>
    </row>
    <row r="418">
      <c r="D418" s="132"/>
      <c r="F418" s="132"/>
      <c r="L418" s="32"/>
    </row>
    <row r="419">
      <c r="D419" s="132"/>
      <c r="F419" s="132"/>
      <c r="L419" s="32"/>
    </row>
    <row r="420">
      <c r="D420" s="132"/>
      <c r="F420" s="132"/>
      <c r="L420" s="32"/>
    </row>
    <row r="421">
      <c r="D421" s="132"/>
      <c r="F421" s="132"/>
      <c r="L421" s="32"/>
    </row>
    <row r="422">
      <c r="D422" s="132"/>
      <c r="F422" s="132"/>
      <c r="L422" s="32"/>
    </row>
    <row r="423">
      <c r="D423" s="132"/>
      <c r="F423" s="132"/>
      <c r="L423" s="32"/>
    </row>
    <row r="424">
      <c r="D424" s="132"/>
      <c r="F424" s="132"/>
      <c r="L424" s="32"/>
    </row>
    <row r="425">
      <c r="D425" s="132"/>
      <c r="F425" s="132"/>
      <c r="L425" s="32"/>
    </row>
    <row r="426">
      <c r="D426" s="132"/>
      <c r="F426" s="132"/>
      <c r="L426" s="32"/>
    </row>
    <row r="427">
      <c r="D427" s="132"/>
      <c r="F427" s="132"/>
      <c r="L427" s="32"/>
    </row>
    <row r="428">
      <c r="D428" s="132"/>
      <c r="F428" s="132"/>
      <c r="L428" s="32"/>
    </row>
    <row r="429">
      <c r="D429" s="132"/>
      <c r="F429" s="132"/>
      <c r="L429" s="32"/>
    </row>
    <row r="430">
      <c r="D430" s="132"/>
      <c r="F430" s="132"/>
      <c r="L430" s="32"/>
    </row>
    <row r="431">
      <c r="D431" s="132"/>
      <c r="F431" s="132"/>
      <c r="L431" s="32"/>
    </row>
    <row r="432">
      <c r="D432" s="132"/>
      <c r="F432" s="132"/>
      <c r="L432" s="32"/>
    </row>
    <row r="433">
      <c r="D433" s="132"/>
      <c r="F433" s="132"/>
      <c r="L433" s="32"/>
    </row>
    <row r="434">
      <c r="D434" s="132"/>
      <c r="F434" s="132"/>
      <c r="L434" s="32"/>
    </row>
    <row r="435">
      <c r="D435" s="132"/>
      <c r="F435" s="132"/>
      <c r="L435" s="32"/>
    </row>
    <row r="436">
      <c r="D436" s="132"/>
      <c r="F436" s="132"/>
      <c r="L436" s="32"/>
    </row>
    <row r="437">
      <c r="D437" s="132"/>
      <c r="F437" s="132"/>
      <c r="L437" s="32"/>
    </row>
    <row r="438">
      <c r="D438" s="132"/>
      <c r="F438" s="132"/>
      <c r="L438" s="32"/>
    </row>
    <row r="439">
      <c r="D439" s="132"/>
      <c r="F439" s="132"/>
      <c r="L439" s="32"/>
    </row>
    <row r="440">
      <c r="D440" s="132"/>
      <c r="F440" s="132"/>
      <c r="L440" s="32"/>
    </row>
    <row r="441">
      <c r="D441" s="132"/>
      <c r="F441" s="132"/>
      <c r="L441" s="32"/>
    </row>
    <row r="442">
      <c r="D442" s="132"/>
      <c r="F442" s="132"/>
      <c r="L442" s="32"/>
    </row>
    <row r="443">
      <c r="D443" s="132"/>
      <c r="F443" s="132"/>
      <c r="L443" s="32"/>
    </row>
    <row r="444">
      <c r="D444" s="132"/>
      <c r="F444" s="132"/>
      <c r="L444" s="32"/>
    </row>
    <row r="445">
      <c r="D445" s="132"/>
      <c r="F445" s="132"/>
      <c r="L445" s="32"/>
    </row>
    <row r="446">
      <c r="D446" s="132"/>
      <c r="F446" s="132"/>
      <c r="L446" s="32"/>
    </row>
    <row r="447">
      <c r="D447" s="132"/>
      <c r="F447" s="132"/>
      <c r="L447" s="32"/>
    </row>
    <row r="448">
      <c r="D448" s="132"/>
      <c r="F448" s="132"/>
      <c r="L448" s="32"/>
    </row>
    <row r="449">
      <c r="D449" s="132"/>
      <c r="F449" s="132"/>
      <c r="L449" s="32"/>
    </row>
    <row r="450">
      <c r="D450" s="132"/>
      <c r="F450" s="132"/>
      <c r="L450" s="32"/>
    </row>
    <row r="451">
      <c r="D451" s="132"/>
      <c r="F451" s="132"/>
      <c r="L451" s="32"/>
    </row>
    <row r="452">
      <c r="D452" s="132"/>
      <c r="F452" s="132"/>
      <c r="L452" s="32"/>
    </row>
    <row r="453">
      <c r="D453" s="132"/>
      <c r="F453" s="132"/>
      <c r="L453" s="32"/>
    </row>
    <row r="454">
      <c r="D454" s="132"/>
      <c r="F454" s="132"/>
      <c r="L454" s="32"/>
    </row>
    <row r="455">
      <c r="D455" s="132"/>
      <c r="F455" s="132"/>
      <c r="L455" s="32"/>
    </row>
    <row r="456">
      <c r="D456" s="132"/>
      <c r="F456" s="132"/>
      <c r="L456" s="32"/>
    </row>
    <row r="457">
      <c r="D457" s="132"/>
      <c r="F457" s="132"/>
      <c r="L457" s="32"/>
    </row>
    <row r="458">
      <c r="D458" s="132"/>
      <c r="F458" s="132"/>
      <c r="L458" s="32"/>
    </row>
    <row r="459">
      <c r="D459" s="132"/>
      <c r="F459" s="132"/>
      <c r="L459" s="32"/>
    </row>
    <row r="460">
      <c r="D460" s="132"/>
      <c r="F460" s="132"/>
      <c r="L460" s="32"/>
    </row>
    <row r="461">
      <c r="D461" s="132"/>
      <c r="F461" s="132"/>
      <c r="L461" s="32"/>
    </row>
    <row r="462">
      <c r="D462" s="132"/>
      <c r="F462" s="132"/>
      <c r="L462" s="32"/>
    </row>
    <row r="463">
      <c r="D463" s="132"/>
      <c r="F463" s="132"/>
      <c r="L463" s="32"/>
    </row>
    <row r="464">
      <c r="D464" s="132"/>
      <c r="F464" s="132"/>
      <c r="L464" s="32"/>
    </row>
    <row r="465">
      <c r="D465" s="132"/>
      <c r="F465" s="132"/>
      <c r="L465" s="32"/>
    </row>
    <row r="466">
      <c r="D466" s="132"/>
      <c r="F466" s="132"/>
      <c r="L466" s="32"/>
    </row>
    <row r="467">
      <c r="D467" s="132"/>
      <c r="F467" s="132"/>
      <c r="L467" s="32"/>
    </row>
    <row r="468">
      <c r="D468" s="132"/>
      <c r="F468" s="132"/>
      <c r="L468" s="32"/>
    </row>
    <row r="469">
      <c r="D469" s="132"/>
      <c r="F469" s="132"/>
      <c r="L469" s="32"/>
    </row>
    <row r="470">
      <c r="D470" s="132"/>
      <c r="F470" s="132"/>
      <c r="L470" s="32"/>
    </row>
    <row r="471">
      <c r="D471" s="132"/>
      <c r="F471" s="132"/>
      <c r="L471" s="32"/>
    </row>
    <row r="472">
      <c r="D472" s="132"/>
      <c r="F472" s="132"/>
      <c r="L472" s="32"/>
    </row>
    <row r="473">
      <c r="D473" s="132"/>
      <c r="F473" s="132"/>
      <c r="L473" s="32"/>
    </row>
    <row r="474">
      <c r="D474" s="132"/>
      <c r="F474" s="132"/>
      <c r="L474" s="32"/>
    </row>
    <row r="475">
      <c r="D475" s="132"/>
      <c r="F475" s="132"/>
      <c r="L475" s="32"/>
    </row>
    <row r="476">
      <c r="D476" s="132"/>
      <c r="F476" s="132"/>
      <c r="L476" s="32"/>
    </row>
    <row r="477">
      <c r="D477" s="132"/>
      <c r="F477" s="132"/>
      <c r="L477" s="32"/>
    </row>
    <row r="478">
      <c r="D478" s="132"/>
      <c r="F478" s="132"/>
      <c r="L478" s="32"/>
    </row>
    <row r="479">
      <c r="D479" s="132"/>
      <c r="F479" s="132"/>
      <c r="L479" s="32"/>
    </row>
    <row r="480">
      <c r="D480" s="132"/>
      <c r="F480" s="132"/>
      <c r="L480" s="32"/>
    </row>
    <row r="481">
      <c r="D481" s="132"/>
      <c r="F481" s="132"/>
      <c r="L481" s="32"/>
    </row>
    <row r="482">
      <c r="D482" s="132"/>
      <c r="F482" s="132"/>
      <c r="L482" s="32"/>
    </row>
    <row r="483">
      <c r="D483" s="132"/>
      <c r="F483" s="132"/>
      <c r="L483" s="32"/>
    </row>
    <row r="484">
      <c r="D484" s="132"/>
      <c r="F484" s="132"/>
      <c r="L484" s="32"/>
    </row>
    <row r="485">
      <c r="D485" s="132"/>
      <c r="F485" s="132"/>
      <c r="L485" s="32"/>
    </row>
    <row r="486">
      <c r="D486" s="132"/>
      <c r="F486" s="132"/>
      <c r="L486" s="32"/>
    </row>
    <row r="487">
      <c r="D487" s="132"/>
      <c r="F487" s="132"/>
      <c r="L487" s="32"/>
    </row>
    <row r="488">
      <c r="D488" s="132"/>
      <c r="F488" s="132"/>
      <c r="L488" s="32"/>
    </row>
    <row r="489">
      <c r="D489" s="132"/>
      <c r="F489" s="132"/>
      <c r="L489" s="32"/>
    </row>
    <row r="490">
      <c r="D490" s="132"/>
      <c r="F490" s="132"/>
      <c r="L490" s="32"/>
    </row>
    <row r="491">
      <c r="D491" s="132"/>
      <c r="F491" s="132"/>
      <c r="L491" s="32"/>
    </row>
    <row r="492">
      <c r="D492" s="132"/>
      <c r="F492" s="132"/>
      <c r="L492" s="32"/>
    </row>
    <row r="493">
      <c r="D493" s="132"/>
      <c r="F493" s="132"/>
      <c r="L493" s="32"/>
    </row>
    <row r="494">
      <c r="D494" s="132"/>
      <c r="F494" s="132"/>
      <c r="L494" s="32"/>
    </row>
    <row r="495">
      <c r="D495" s="132"/>
      <c r="F495" s="132"/>
      <c r="L495" s="32"/>
    </row>
    <row r="496">
      <c r="D496" s="132"/>
      <c r="F496" s="132"/>
      <c r="L496" s="32"/>
    </row>
    <row r="497">
      <c r="D497" s="132"/>
      <c r="F497" s="132"/>
      <c r="L497" s="32"/>
    </row>
    <row r="498">
      <c r="D498" s="132"/>
      <c r="F498" s="132"/>
      <c r="L498" s="32"/>
    </row>
    <row r="499">
      <c r="D499" s="132"/>
      <c r="F499" s="132"/>
      <c r="L499" s="32"/>
    </row>
    <row r="500">
      <c r="D500" s="132"/>
      <c r="F500" s="132"/>
      <c r="L500" s="32"/>
    </row>
    <row r="501">
      <c r="D501" s="132"/>
      <c r="F501" s="132"/>
      <c r="L501" s="32"/>
    </row>
    <row r="502">
      <c r="D502" s="132"/>
      <c r="F502" s="132"/>
      <c r="L502" s="32"/>
    </row>
    <row r="503">
      <c r="D503" s="132"/>
      <c r="F503" s="132"/>
      <c r="L503" s="32"/>
    </row>
    <row r="504">
      <c r="D504" s="132"/>
      <c r="F504" s="132"/>
      <c r="L504" s="32"/>
    </row>
    <row r="505">
      <c r="D505" s="132"/>
      <c r="F505" s="132"/>
      <c r="L505" s="32"/>
    </row>
    <row r="506">
      <c r="D506" s="132"/>
      <c r="F506" s="132"/>
      <c r="L506" s="32"/>
    </row>
    <row r="507">
      <c r="D507" s="132"/>
      <c r="F507" s="132"/>
      <c r="L507" s="32"/>
    </row>
    <row r="508">
      <c r="D508" s="132"/>
      <c r="F508" s="132"/>
      <c r="L508" s="32"/>
    </row>
    <row r="509">
      <c r="D509" s="132"/>
      <c r="F509" s="132"/>
      <c r="L509" s="32"/>
    </row>
    <row r="510">
      <c r="D510" s="132"/>
      <c r="F510" s="132"/>
      <c r="L510" s="32"/>
    </row>
    <row r="511">
      <c r="D511" s="132"/>
      <c r="F511" s="132"/>
      <c r="L511" s="32"/>
    </row>
    <row r="512">
      <c r="D512" s="132"/>
      <c r="F512" s="132"/>
      <c r="L512" s="32"/>
    </row>
    <row r="513">
      <c r="D513" s="132"/>
      <c r="F513" s="132"/>
      <c r="L513" s="32"/>
    </row>
    <row r="514">
      <c r="D514" s="132"/>
      <c r="F514" s="132"/>
      <c r="L514" s="32"/>
    </row>
    <row r="515">
      <c r="D515" s="132"/>
      <c r="F515" s="132"/>
      <c r="L515" s="32"/>
    </row>
    <row r="516">
      <c r="D516" s="132"/>
      <c r="F516" s="132"/>
      <c r="L516" s="32"/>
    </row>
    <row r="517">
      <c r="D517" s="132"/>
      <c r="F517" s="132"/>
      <c r="L517" s="32"/>
    </row>
    <row r="518">
      <c r="D518" s="132"/>
      <c r="F518" s="132"/>
      <c r="L518" s="32"/>
    </row>
    <row r="519">
      <c r="D519" s="132"/>
      <c r="F519" s="132"/>
      <c r="L519" s="32"/>
    </row>
    <row r="520">
      <c r="D520" s="132"/>
      <c r="F520" s="132"/>
      <c r="L520" s="32"/>
    </row>
    <row r="521">
      <c r="D521" s="132"/>
      <c r="F521" s="132"/>
      <c r="L521" s="32"/>
    </row>
    <row r="522">
      <c r="D522" s="132"/>
      <c r="F522" s="132"/>
      <c r="L522" s="32"/>
    </row>
    <row r="523">
      <c r="D523" s="132"/>
      <c r="F523" s="132"/>
      <c r="L523" s="32"/>
    </row>
    <row r="524">
      <c r="D524" s="132"/>
      <c r="F524" s="132"/>
      <c r="L524" s="32"/>
    </row>
    <row r="525">
      <c r="D525" s="132"/>
      <c r="F525" s="132"/>
      <c r="L525" s="32"/>
    </row>
    <row r="526">
      <c r="D526" s="132"/>
      <c r="F526" s="132"/>
      <c r="L526" s="32"/>
    </row>
    <row r="527">
      <c r="D527" s="132"/>
      <c r="F527" s="132"/>
      <c r="L527" s="32"/>
    </row>
    <row r="528">
      <c r="D528" s="132"/>
      <c r="F528" s="132"/>
      <c r="L528" s="32"/>
    </row>
    <row r="529">
      <c r="D529" s="132"/>
      <c r="F529" s="132"/>
      <c r="L529" s="32"/>
    </row>
    <row r="530">
      <c r="D530" s="132"/>
      <c r="F530" s="132"/>
      <c r="L530" s="32"/>
    </row>
    <row r="531">
      <c r="D531" s="132"/>
      <c r="F531" s="132"/>
      <c r="L531" s="32"/>
    </row>
    <row r="532">
      <c r="D532" s="132"/>
      <c r="F532" s="132"/>
      <c r="L532" s="32"/>
    </row>
    <row r="533">
      <c r="D533" s="132"/>
      <c r="F533" s="132"/>
      <c r="L533" s="32"/>
    </row>
    <row r="534">
      <c r="D534" s="132"/>
      <c r="F534" s="132"/>
      <c r="L534" s="32"/>
    </row>
    <row r="535">
      <c r="D535" s="132"/>
      <c r="F535" s="132"/>
      <c r="L535" s="32"/>
    </row>
    <row r="536">
      <c r="D536" s="132"/>
      <c r="F536" s="132"/>
      <c r="L536" s="32"/>
    </row>
    <row r="537">
      <c r="D537" s="132"/>
      <c r="F537" s="132"/>
      <c r="L537" s="32"/>
    </row>
    <row r="538">
      <c r="D538" s="132"/>
      <c r="F538" s="132"/>
      <c r="L538" s="32"/>
    </row>
    <row r="539">
      <c r="D539" s="132"/>
      <c r="F539" s="132"/>
      <c r="L539" s="32"/>
    </row>
    <row r="540">
      <c r="D540" s="132"/>
      <c r="F540" s="132"/>
      <c r="L540" s="32"/>
    </row>
    <row r="541">
      <c r="D541" s="132"/>
      <c r="F541" s="132"/>
      <c r="L541" s="32"/>
    </row>
    <row r="542">
      <c r="D542" s="132"/>
      <c r="F542" s="132"/>
      <c r="L542" s="32"/>
    </row>
    <row r="543">
      <c r="D543" s="132"/>
      <c r="F543" s="132"/>
      <c r="L543" s="32"/>
    </row>
    <row r="544">
      <c r="D544" s="132"/>
      <c r="F544" s="132"/>
      <c r="L544" s="32"/>
    </row>
    <row r="545">
      <c r="D545" s="132"/>
      <c r="F545" s="132"/>
      <c r="L545" s="32"/>
    </row>
    <row r="546">
      <c r="D546" s="132"/>
      <c r="F546" s="132"/>
      <c r="L546" s="32"/>
    </row>
    <row r="547">
      <c r="D547" s="132"/>
      <c r="F547" s="132"/>
      <c r="L547" s="32"/>
    </row>
    <row r="548">
      <c r="D548" s="132"/>
      <c r="F548" s="132"/>
      <c r="L548" s="32"/>
    </row>
    <row r="549">
      <c r="D549" s="132"/>
      <c r="F549" s="132"/>
      <c r="L549" s="32"/>
    </row>
    <row r="550">
      <c r="D550" s="132"/>
      <c r="F550" s="132"/>
      <c r="L550" s="32"/>
    </row>
    <row r="551">
      <c r="D551" s="132"/>
      <c r="F551" s="132"/>
      <c r="L551" s="32"/>
    </row>
    <row r="552">
      <c r="D552" s="132"/>
      <c r="F552" s="132"/>
      <c r="L552" s="32"/>
    </row>
    <row r="553">
      <c r="D553" s="132"/>
      <c r="F553" s="132"/>
      <c r="L553" s="32"/>
    </row>
    <row r="554">
      <c r="D554" s="132"/>
      <c r="F554" s="132"/>
      <c r="L554" s="32"/>
    </row>
    <row r="555">
      <c r="D555" s="132"/>
      <c r="F555" s="132"/>
      <c r="L555" s="32"/>
    </row>
    <row r="556">
      <c r="D556" s="132"/>
      <c r="F556" s="132"/>
      <c r="L556" s="32"/>
    </row>
    <row r="557">
      <c r="D557" s="132"/>
      <c r="F557" s="132"/>
      <c r="L557" s="32"/>
    </row>
    <row r="558">
      <c r="D558" s="132"/>
      <c r="F558" s="132"/>
      <c r="L558" s="32"/>
    </row>
    <row r="559">
      <c r="D559" s="132"/>
      <c r="F559" s="132"/>
      <c r="L559" s="32"/>
    </row>
    <row r="560">
      <c r="D560" s="132"/>
      <c r="F560" s="132"/>
      <c r="L560" s="32"/>
    </row>
    <row r="561">
      <c r="D561" s="132"/>
      <c r="F561" s="132"/>
      <c r="L561" s="32"/>
    </row>
    <row r="562">
      <c r="D562" s="132"/>
      <c r="F562" s="132"/>
      <c r="L562" s="32"/>
    </row>
    <row r="563">
      <c r="D563" s="132"/>
      <c r="F563" s="132"/>
      <c r="L563" s="32"/>
    </row>
    <row r="564">
      <c r="D564" s="132"/>
      <c r="F564" s="132"/>
      <c r="L564" s="32"/>
    </row>
    <row r="565">
      <c r="D565" s="132"/>
      <c r="F565" s="132"/>
      <c r="L565" s="32"/>
    </row>
    <row r="566">
      <c r="D566" s="132"/>
      <c r="F566" s="132"/>
      <c r="L566" s="32"/>
    </row>
    <row r="567">
      <c r="D567" s="132"/>
      <c r="F567" s="132"/>
      <c r="L567" s="32"/>
    </row>
    <row r="568">
      <c r="D568" s="132"/>
      <c r="F568" s="132"/>
      <c r="L568" s="32"/>
    </row>
    <row r="569">
      <c r="D569" s="132"/>
      <c r="F569" s="132"/>
      <c r="L569" s="32"/>
    </row>
    <row r="570">
      <c r="D570" s="132"/>
      <c r="F570" s="132"/>
      <c r="L570" s="32"/>
    </row>
    <row r="571">
      <c r="D571" s="132"/>
      <c r="F571" s="132"/>
      <c r="L571" s="32"/>
    </row>
    <row r="572">
      <c r="D572" s="132"/>
      <c r="F572" s="132"/>
      <c r="L572" s="32"/>
    </row>
    <row r="573">
      <c r="D573" s="132"/>
      <c r="F573" s="132"/>
      <c r="L573" s="32"/>
    </row>
    <row r="574">
      <c r="D574" s="132"/>
      <c r="F574" s="132"/>
      <c r="L574" s="32"/>
    </row>
    <row r="575">
      <c r="D575" s="132"/>
      <c r="F575" s="132"/>
      <c r="L575" s="32"/>
    </row>
    <row r="576">
      <c r="D576" s="132"/>
      <c r="F576" s="132"/>
      <c r="L576" s="32"/>
    </row>
    <row r="577">
      <c r="D577" s="132"/>
      <c r="F577" s="132"/>
      <c r="L577" s="32"/>
    </row>
    <row r="578">
      <c r="D578" s="132"/>
      <c r="F578" s="132"/>
      <c r="L578" s="32"/>
    </row>
    <row r="579">
      <c r="D579" s="132"/>
      <c r="F579" s="132"/>
      <c r="L579" s="32"/>
    </row>
    <row r="580">
      <c r="D580" s="132"/>
      <c r="F580" s="132"/>
      <c r="L580" s="32"/>
    </row>
    <row r="581">
      <c r="D581" s="132"/>
      <c r="F581" s="132"/>
      <c r="L581" s="32"/>
    </row>
    <row r="582">
      <c r="D582" s="132"/>
      <c r="F582" s="132"/>
      <c r="L582" s="32"/>
    </row>
    <row r="583">
      <c r="D583" s="132"/>
      <c r="F583" s="132"/>
      <c r="L583" s="32"/>
    </row>
    <row r="584">
      <c r="D584" s="132"/>
      <c r="F584" s="132"/>
      <c r="L584" s="32"/>
    </row>
    <row r="585">
      <c r="D585" s="132"/>
      <c r="F585" s="132"/>
      <c r="L585" s="32"/>
    </row>
    <row r="586">
      <c r="D586" s="132"/>
      <c r="F586" s="132"/>
      <c r="L586" s="32"/>
    </row>
    <row r="587">
      <c r="D587" s="132"/>
      <c r="F587" s="132"/>
      <c r="L587" s="32"/>
    </row>
    <row r="588">
      <c r="D588" s="132"/>
      <c r="F588" s="132"/>
      <c r="L588" s="32"/>
    </row>
    <row r="589">
      <c r="D589" s="132"/>
      <c r="F589" s="132"/>
      <c r="L589" s="32"/>
    </row>
    <row r="590">
      <c r="D590" s="132"/>
      <c r="F590" s="132"/>
      <c r="L590" s="32"/>
    </row>
    <row r="591">
      <c r="D591" s="132"/>
      <c r="F591" s="132"/>
      <c r="L591" s="32"/>
    </row>
    <row r="592">
      <c r="D592" s="132"/>
      <c r="F592" s="132"/>
      <c r="L592" s="32"/>
    </row>
    <row r="593">
      <c r="D593" s="132"/>
      <c r="F593" s="132"/>
      <c r="L593" s="32"/>
    </row>
    <row r="594">
      <c r="D594" s="132"/>
      <c r="F594" s="132"/>
      <c r="L594" s="32"/>
    </row>
    <row r="595">
      <c r="D595" s="132"/>
      <c r="F595" s="132"/>
      <c r="L595" s="32"/>
    </row>
    <row r="596">
      <c r="D596" s="132"/>
      <c r="F596" s="132"/>
      <c r="L596" s="32"/>
    </row>
    <row r="597">
      <c r="D597" s="132"/>
      <c r="F597" s="132"/>
      <c r="L597" s="32"/>
    </row>
    <row r="598">
      <c r="D598" s="132"/>
      <c r="F598" s="132"/>
      <c r="L598" s="32"/>
    </row>
    <row r="599">
      <c r="D599" s="132"/>
      <c r="F599" s="132"/>
      <c r="L599" s="32"/>
    </row>
    <row r="600">
      <c r="D600" s="132"/>
      <c r="F600" s="132"/>
      <c r="L600" s="32"/>
    </row>
    <row r="601">
      <c r="D601" s="132"/>
      <c r="F601" s="132"/>
      <c r="L601" s="32"/>
    </row>
    <row r="602">
      <c r="D602" s="132"/>
      <c r="F602" s="132"/>
      <c r="L602" s="32"/>
    </row>
    <row r="603">
      <c r="D603" s="132"/>
      <c r="F603" s="132"/>
      <c r="L603" s="32"/>
    </row>
    <row r="604">
      <c r="D604" s="132"/>
      <c r="F604" s="132"/>
      <c r="L604" s="32"/>
    </row>
    <row r="605">
      <c r="D605" s="132"/>
      <c r="F605" s="132"/>
      <c r="L605" s="32"/>
    </row>
    <row r="606">
      <c r="D606" s="132"/>
      <c r="F606" s="132"/>
      <c r="L606" s="32"/>
    </row>
    <row r="607">
      <c r="D607" s="132"/>
      <c r="F607" s="132"/>
      <c r="L607" s="32"/>
    </row>
    <row r="608">
      <c r="D608" s="132"/>
      <c r="F608" s="132"/>
      <c r="L608" s="32"/>
    </row>
    <row r="609">
      <c r="D609" s="132"/>
      <c r="F609" s="132"/>
      <c r="L609" s="32"/>
    </row>
    <row r="610">
      <c r="D610" s="132"/>
      <c r="F610" s="132"/>
      <c r="L610" s="32"/>
    </row>
    <row r="611">
      <c r="D611" s="132"/>
      <c r="F611" s="132"/>
      <c r="L611" s="32"/>
    </row>
    <row r="612">
      <c r="D612" s="132"/>
      <c r="F612" s="132"/>
      <c r="L612" s="32"/>
    </row>
    <row r="613">
      <c r="D613" s="132"/>
      <c r="F613" s="132"/>
      <c r="L613" s="32"/>
    </row>
    <row r="614">
      <c r="D614" s="132"/>
      <c r="F614" s="132"/>
      <c r="L614" s="32"/>
    </row>
    <row r="615">
      <c r="D615" s="132"/>
      <c r="F615" s="132"/>
      <c r="L615" s="32"/>
    </row>
    <row r="616">
      <c r="D616" s="132"/>
      <c r="F616" s="132"/>
      <c r="L616" s="32"/>
    </row>
    <row r="617">
      <c r="D617" s="132"/>
      <c r="F617" s="132"/>
      <c r="L617" s="32"/>
    </row>
    <row r="618">
      <c r="D618" s="132"/>
      <c r="F618" s="132"/>
      <c r="L618" s="32"/>
    </row>
    <row r="619">
      <c r="D619" s="132"/>
      <c r="F619" s="132"/>
      <c r="L619" s="32"/>
    </row>
    <row r="620">
      <c r="D620" s="132"/>
      <c r="F620" s="132"/>
      <c r="L620" s="32"/>
    </row>
    <row r="621">
      <c r="D621" s="132"/>
      <c r="F621" s="132"/>
      <c r="L621" s="32"/>
    </row>
    <row r="622">
      <c r="D622" s="132"/>
      <c r="F622" s="132"/>
      <c r="L622" s="32"/>
    </row>
    <row r="623">
      <c r="D623" s="132"/>
      <c r="F623" s="132"/>
      <c r="L623" s="32"/>
    </row>
    <row r="624">
      <c r="D624" s="132"/>
      <c r="F624" s="132"/>
      <c r="L624" s="32"/>
    </row>
    <row r="625">
      <c r="D625" s="132"/>
      <c r="F625" s="132"/>
      <c r="L625" s="32"/>
    </row>
    <row r="626">
      <c r="D626" s="132"/>
      <c r="F626" s="132"/>
      <c r="L626" s="32"/>
    </row>
    <row r="627">
      <c r="D627" s="132"/>
      <c r="F627" s="132"/>
      <c r="L627" s="32"/>
    </row>
    <row r="628">
      <c r="D628" s="132"/>
      <c r="F628" s="132"/>
      <c r="L628" s="32"/>
    </row>
    <row r="629">
      <c r="D629" s="132"/>
      <c r="F629" s="132"/>
      <c r="L629" s="32"/>
    </row>
    <row r="630">
      <c r="D630" s="132"/>
      <c r="F630" s="132"/>
      <c r="L630" s="32"/>
    </row>
    <row r="631">
      <c r="D631" s="132"/>
      <c r="F631" s="132"/>
      <c r="L631" s="32"/>
    </row>
    <row r="632">
      <c r="D632" s="132"/>
      <c r="F632" s="132"/>
      <c r="L632" s="32"/>
    </row>
    <row r="633">
      <c r="D633" s="132"/>
      <c r="F633" s="132"/>
      <c r="L633" s="32"/>
    </row>
    <row r="634">
      <c r="D634" s="132"/>
      <c r="F634" s="132"/>
      <c r="L634" s="32"/>
    </row>
    <row r="635">
      <c r="D635" s="132"/>
      <c r="F635" s="132"/>
      <c r="L635" s="32"/>
    </row>
    <row r="636">
      <c r="D636" s="132"/>
      <c r="F636" s="132"/>
      <c r="L636" s="32"/>
    </row>
    <row r="637">
      <c r="D637" s="132"/>
      <c r="F637" s="132"/>
      <c r="L637" s="32"/>
    </row>
    <row r="638">
      <c r="D638" s="132"/>
      <c r="F638" s="132"/>
      <c r="L638" s="32"/>
    </row>
    <row r="639">
      <c r="D639" s="132"/>
      <c r="F639" s="132"/>
      <c r="L639" s="32"/>
    </row>
    <row r="640">
      <c r="D640" s="132"/>
      <c r="F640" s="132"/>
      <c r="L640" s="32"/>
    </row>
    <row r="641">
      <c r="D641" s="132"/>
      <c r="F641" s="132"/>
      <c r="L641" s="32"/>
    </row>
    <row r="642">
      <c r="D642" s="132"/>
      <c r="F642" s="132"/>
      <c r="L642" s="32"/>
    </row>
    <row r="643">
      <c r="D643" s="132"/>
      <c r="F643" s="132"/>
      <c r="L643" s="32"/>
    </row>
    <row r="644">
      <c r="D644" s="132"/>
      <c r="F644" s="132"/>
      <c r="L644" s="32"/>
    </row>
    <row r="645">
      <c r="D645" s="132"/>
      <c r="F645" s="132"/>
      <c r="L645" s="32"/>
    </row>
    <row r="646">
      <c r="D646" s="132"/>
      <c r="F646" s="132"/>
      <c r="L646" s="32"/>
    </row>
    <row r="647">
      <c r="D647" s="132"/>
      <c r="F647" s="132"/>
      <c r="L647" s="32"/>
    </row>
    <row r="648">
      <c r="D648" s="132"/>
      <c r="F648" s="132"/>
      <c r="L648" s="32"/>
    </row>
    <row r="649">
      <c r="D649" s="132"/>
      <c r="F649" s="132"/>
      <c r="L649" s="32"/>
    </row>
    <row r="650">
      <c r="D650" s="132"/>
      <c r="F650" s="132"/>
      <c r="L650" s="32"/>
    </row>
    <row r="651">
      <c r="D651" s="132"/>
      <c r="F651" s="132"/>
      <c r="L651" s="32"/>
    </row>
    <row r="652">
      <c r="D652" s="132"/>
      <c r="F652" s="132"/>
      <c r="L652" s="32"/>
    </row>
    <row r="653">
      <c r="D653" s="132"/>
      <c r="F653" s="132"/>
      <c r="L653" s="32"/>
    </row>
    <row r="654">
      <c r="D654" s="132"/>
      <c r="F654" s="132"/>
      <c r="L654" s="32"/>
    </row>
    <row r="655">
      <c r="D655" s="132"/>
      <c r="F655" s="132"/>
      <c r="L655" s="32"/>
    </row>
    <row r="656">
      <c r="D656" s="132"/>
      <c r="F656" s="132"/>
      <c r="L656" s="32"/>
    </row>
    <row r="657">
      <c r="D657" s="132"/>
      <c r="F657" s="132"/>
      <c r="L657" s="32"/>
    </row>
    <row r="658">
      <c r="D658" s="132"/>
      <c r="F658" s="132"/>
      <c r="L658" s="32"/>
    </row>
    <row r="659">
      <c r="D659" s="132"/>
      <c r="F659" s="132"/>
      <c r="L659" s="32"/>
    </row>
    <row r="660">
      <c r="D660" s="132"/>
      <c r="F660" s="132"/>
      <c r="L660" s="32"/>
    </row>
    <row r="661">
      <c r="D661" s="132"/>
      <c r="F661" s="132"/>
      <c r="L661" s="32"/>
    </row>
    <row r="662">
      <c r="D662" s="132"/>
      <c r="F662" s="132"/>
      <c r="L662" s="32"/>
    </row>
    <row r="663">
      <c r="D663" s="132"/>
      <c r="F663" s="132"/>
      <c r="L663" s="32"/>
    </row>
    <row r="664">
      <c r="D664" s="132"/>
      <c r="F664" s="132"/>
      <c r="L664" s="32"/>
    </row>
    <row r="665">
      <c r="D665" s="132"/>
      <c r="F665" s="132"/>
      <c r="L665" s="32"/>
    </row>
    <row r="666">
      <c r="D666" s="132"/>
      <c r="F666" s="132"/>
      <c r="L666" s="32"/>
    </row>
    <row r="667">
      <c r="D667" s="132"/>
      <c r="F667" s="132"/>
      <c r="L667" s="32"/>
    </row>
    <row r="668">
      <c r="D668" s="132"/>
      <c r="F668" s="132"/>
      <c r="L668" s="32"/>
    </row>
    <row r="669">
      <c r="D669" s="132"/>
      <c r="F669" s="132"/>
      <c r="L669" s="32"/>
    </row>
    <row r="670">
      <c r="D670" s="132"/>
      <c r="F670" s="132"/>
      <c r="L670" s="32"/>
    </row>
    <row r="671">
      <c r="D671" s="132"/>
      <c r="F671" s="132"/>
      <c r="L671" s="32"/>
    </row>
    <row r="672">
      <c r="D672" s="132"/>
      <c r="F672" s="132"/>
      <c r="L672" s="32"/>
    </row>
    <row r="673">
      <c r="D673" s="132"/>
      <c r="F673" s="132"/>
      <c r="L673" s="32"/>
    </row>
    <row r="674">
      <c r="D674" s="132"/>
      <c r="F674" s="132"/>
      <c r="L674" s="32"/>
    </row>
    <row r="675">
      <c r="D675" s="132"/>
      <c r="F675" s="132"/>
      <c r="L675" s="32"/>
    </row>
    <row r="676">
      <c r="D676" s="132"/>
      <c r="F676" s="132"/>
      <c r="L676" s="32"/>
    </row>
    <row r="677">
      <c r="D677" s="132"/>
      <c r="F677" s="132"/>
      <c r="L677" s="32"/>
    </row>
    <row r="678">
      <c r="D678" s="132"/>
      <c r="F678" s="132"/>
      <c r="L678" s="32"/>
    </row>
    <row r="679">
      <c r="D679" s="132"/>
      <c r="F679" s="132"/>
      <c r="L679" s="32"/>
    </row>
    <row r="680">
      <c r="D680" s="132"/>
      <c r="F680" s="132"/>
      <c r="L680" s="32"/>
    </row>
    <row r="681">
      <c r="D681" s="132"/>
      <c r="F681" s="132"/>
      <c r="L681" s="32"/>
    </row>
    <row r="682">
      <c r="D682" s="132"/>
      <c r="F682" s="132"/>
      <c r="L682" s="32"/>
    </row>
    <row r="683">
      <c r="D683" s="132"/>
      <c r="F683" s="132"/>
      <c r="L683" s="32"/>
    </row>
    <row r="684">
      <c r="D684" s="132"/>
      <c r="F684" s="132"/>
      <c r="L684" s="32"/>
    </row>
    <row r="685">
      <c r="D685" s="132"/>
      <c r="F685" s="132"/>
      <c r="L685" s="32"/>
    </row>
    <row r="686">
      <c r="D686" s="132"/>
      <c r="F686" s="132"/>
      <c r="L686" s="32"/>
    </row>
    <row r="687">
      <c r="D687" s="132"/>
      <c r="F687" s="132"/>
      <c r="L687" s="32"/>
    </row>
    <row r="688">
      <c r="D688" s="132"/>
      <c r="F688" s="132"/>
      <c r="L688" s="32"/>
    </row>
    <row r="689">
      <c r="D689" s="132"/>
      <c r="F689" s="132"/>
      <c r="L689" s="32"/>
    </row>
    <row r="690">
      <c r="D690" s="132"/>
      <c r="F690" s="132"/>
      <c r="L690" s="32"/>
    </row>
    <row r="691">
      <c r="D691" s="132"/>
      <c r="F691" s="132"/>
      <c r="L691" s="32"/>
    </row>
    <row r="692">
      <c r="D692" s="132"/>
      <c r="F692" s="132"/>
      <c r="L692" s="32"/>
    </row>
    <row r="693">
      <c r="D693" s="132"/>
      <c r="F693" s="132"/>
      <c r="L693" s="32"/>
    </row>
    <row r="694">
      <c r="D694" s="132"/>
      <c r="F694" s="132"/>
      <c r="L694" s="32"/>
    </row>
    <row r="695">
      <c r="D695" s="132"/>
      <c r="F695" s="132"/>
      <c r="L695" s="32"/>
    </row>
    <row r="696">
      <c r="D696" s="132"/>
      <c r="F696" s="132"/>
      <c r="L696" s="32"/>
    </row>
    <row r="697">
      <c r="D697" s="132"/>
      <c r="F697" s="132"/>
      <c r="L697" s="32"/>
    </row>
    <row r="698">
      <c r="D698" s="132"/>
      <c r="F698" s="132"/>
      <c r="L698" s="32"/>
    </row>
    <row r="699">
      <c r="D699" s="132"/>
      <c r="F699" s="132"/>
      <c r="L699" s="32"/>
    </row>
    <row r="700">
      <c r="D700" s="132"/>
      <c r="F700" s="132"/>
      <c r="L700" s="32"/>
    </row>
    <row r="701">
      <c r="D701" s="132"/>
      <c r="F701" s="132"/>
      <c r="L701" s="32"/>
    </row>
    <row r="702">
      <c r="D702" s="132"/>
      <c r="F702" s="132"/>
      <c r="L702" s="32"/>
    </row>
    <row r="703">
      <c r="D703" s="132"/>
      <c r="F703" s="132"/>
      <c r="L703" s="32"/>
    </row>
    <row r="704">
      <c r="D704" s="132"/>
      <c r="F704" s="132"/>
      <c r="L704" s="32"/>
    </row>
    <row r="705">
      <c r="D705" s="132"/>
      <c r="F705" s="132"/>
      <c r="L705" s="32"/>
    </row>
    <row r="706">
      <c r="D706" s="132"/>
      <c r="F706" s="132"/>
      <c r="L706" s="32"/>
    </row>
    <row r="707">
      <c r="D707" s="132"/>
      <c r="F707" s="132"/>
      <c r="L707" s="32"/>
    </row>
    <row r="708">
      <c r="D708" s="132"/>
      <c r="F708" s="132"/>
      <c r="L708" s="32"/>
    </row>
    <row r="709">
      <c r="D709" s="132"/>
      <c r="F709" s="132"/>
      <c r="L709" s="32"/>
    </row>
    <row r="710">
      <c r="D710" s="132"/>
      <c r="F710" s="132"/>
      <c r="L710" s="32"/>
    </row>
    <row r="711">
      <c r="D711" s="132"/>
      <c r="F711" s="132"/>
      <c r="L711" s="32"/>
    </row>
    <row r="712">
      <c r="D712" s="132"/>
      <c r="F712" s="132"/>
      <c r="L712" s="32"/>
    </row>
    <row r="713">
      <c r="D713" s="132"/>
      <c r="F713" s="132"/>
      <c r="L713" s="32"/>
    </row>
    <row r="714">
      <c r="D714" s="132"/>
      <c r="F714" s="132"/>
      <c r="L714" s="32"/>
    </row>
    <row r="715">
      <c r="D715" s="132"/>
      <c r="F715" s="132"/>
      <c r="L715" s="32"/>
    </row>
    <row r="716">
      <c r="D716" s="132"/>
      <c r="F716" s="132"/>
      <c r="L716" s="32"/>
    </row>
    <row r="717">
      <c r="D717" s="132"/>
      <c r="F717" s="132"/>
      <c r="L717" s="32"/>
    </row>
    <row r="718">
      <c r="D718" s="132"/>
      <c r="F718" s="132"/>
      <c r="L718" s="32"/>
    </row>
    <row r="719">
      <c r="D719" s="132"/>
      <c r="F719" s="132"/>
      <c r="L719" s="32"/>
    </row>
    <row r="720">
      <c r="D720" s="132"/>
      <c r="F720" s="132"/>
      <c r="L720" s="32"/>
    </row>
    <row r="721">
      <c r="D721" s="132"/>
      <c r="F721" s="132"/>
      <c r="L721" s="32"/>
    </row>
    <row r="722">
      <c r="D722" s="132"/>
      <c r="F722" s="132"/>
      <c r="L722" s="32"/>
    </row>
    <row r="723">
      <c r="D723" s="132"/>
      <c r="F723" s="132"/>
      <c r="L723" s="32"/>
    </row>
    <row r="724">
      <c r="D724" s="132"/>
      <c r="F724" s="132"/>
      <c r="L724" s="32"/>
    </row>
    <row r="725">
      <c r="D725" s="132"/>
      <c r="F725" s="132"/>
      <c r="L725" s="32"/>
    </row>
    <row r="726">
      <c r="D726" s="132"/>
      <c r="F726" s="132"/>
      <c r="L726" s="32"/>
    </row>
    <row r="727">
      <c r="D727" s="132"/>
      <c r="F727" s="132"/>
      <c r="L727" s="32"/>
    </row>
    <row r="728">
      <c r="D728" s="132"/>
      <c r="F728" s="132"/>
      <c r="L728" s="32"/>
    </row>
    <row r="729">
      <c r="D729" s="132"/>
      <c r="F729" s="132"/>
      <c r="L729" s="32"/>
    </row>
    <row r="730">
      <c r="D730" s="132"/>
      <c r="F730" s="132"/>
      <c r="L730" s="32"/>
    </row>
    <row r="731">
      <c r="D731" s="132"/>
      <c r="F731" s="132"/>
      <c r="L731" s="32"/>
    </row>
    <row r="732">
      <c r="D732" s="132"/>
      <c r="F732" s="132"/>
      <c r="L732" s="32"/>
    </row>
    <row r="733">
      <c r="D733" s="132"/>
      <c r="F733" s="132"/>
      <c r="L733" s="32"/>
    </row>
    <row r="734">
      <c r="D734" s="132"/>
      <c r="F734" s="132"/>
      <c r="L734" s="32"/>
    </row>
    <row r="735">
      <c r="D735" s="132"/>
      <c r="F735" s="132"/>
      <c r="L735" s="32"/>
    </row>
    <row r="736">
      <c r="D736" s="132"/>
      <c r="F736" s="132"/>
      <c r="L736" s="32"/>
    </row>
    <row r="737">
      <c r="D737" s="132"/>
      <c r="F737" s="132"/>
      <c r="L737" s="32"/>
    </row>
    <row r="738">
      <c r="D738" s="132"/>
      <c r="F738" s="132"/>
      <c r="L738" s="32"/>
    </row>
    <row r="739">
      <c r="D739" s="132"/>
      <c r="F739" s="132"/>
      <c r="L739" s="32"/>
    </row>
    <row r="740">
      <c r="D740" s="132"/>
      <c r="F740" s="132"/>
      <c r="L740" s="32"/>
    </row>
    <row r="741">
      <c r="D741" s="132"/>
      <c r="F741" s="132"/>
      <c r="L741" s="32"/>
    </row>
    <row r="742">
      <c r="D742" s="132"/>
      <c r="F742" s="132"/>
      <c r="L742" s="32"/>
    </row>
    <row r="743">
      <c r="D743" s="132"/>
      <c r="F743" s="132"/>
      <c r="L743" s="32"/>
    </row>
    <row r="744">
      <c r="D744" s="132"/>
      <c r="F744" s="132"/>
      <c r="L744" s="32"/>
    </row>
    <row r="745">
      <c r="D745" s="132"/>
      <c r="F745" s="132"/>
      <c r="L745" s="32"/>
    </row>
    <row r="746">
      <c r="D746" s="132"/>
      <c r="F746" s="132"/>
      <c r="L746" s="32"/>
    </row>
    <row r="747">
      <c r="D747" s="132"/>
      <c r="F747" s="132"/>
      <c r="L747" s="32"/>
    </row>
    <row r="748">
      <c r="D748" s="132"/>
      <c r="F748" s="132"/>
      <c r="L748" s="32"/>
    </row>
    <row r="749">
      <c r="D749" s="132"/>
      <c r="F749" s="132"/>
      <c r="L749" s="32"/>
    </row>
    <row r="750">
      <c r="D750" s="132"/>
      <c r="F750" s="132"/>
      <c r="L750" s="32"/>
    </row>
    <row r="751">
      <c r="D751" s="132"/>
      <c r="F751" s="132"/>
      <c r="L751" s="32"/>
    </row>
    <row r="752">
      <c r="D752" s="132"/>
      <c r="F752" s="132"/>
      <c r="L752" s="32"/>
    </row>
    <row r="753">
      <c r="D753" s="132"/>
      <c r="F753" s="132"/>
      <c r="L753" s="32"/>
    </row>
    <row r="754">
      <c r="D754" s="132"/>
      <c r="F754" s="132"/>
      <c r="L754" s="32"/>
    </row>
    <row r="755">
      <c r="D755" s="132"/>
      <c r="F755" s="132"/>
      <c r="L755" s="32"/>
    </row>
    <row r="756">
      <c r="D756" s="132"/>
      <c r="F756" s="132"/>
      <c r="L756" s="32"/>
    </row>
    <row r="757">
      <c r="D757" s="132"/>
      <c r="F757" s="132"/>
      <c r="L757" s="32"/>
    </row>
    <row r="758">
      <c r="D758" s="132"/>
      <c r="F758" s="132"/>
      <c r="L758" s="32"/>
    </row>
    <row r="759">
      <c r="D759" s="132"/>
      <c r="F759" s="132"/>
      <c r="L759" s="32"/>
    </row>
    <row r="760">
      <c r="D760" s="132"/>
      <c r="F760" s="132"/>
      <c r="L760" s="32"/>
    </row>
    <row r="761">
      <c r="D761" s="132"/>
      <c r="F761" s="132"/>
      <c r="L761" s="32"/>
    </row>
    <row r="762">
      <c r="D762" s="132"/>
      <c r="F762" s="132"/>
      <c r="L762" s="32"/>
    </row>
    <row r="763">
      <c r="D763" s="132"/>
      <c r="F763" s="132"/>
      <c r="L763" s="32"/>
    </row>
    <row r="764">
      <c r="D764" s="132"/>
      <c r="F764" s="132"/>
      <c r="L764" s="32"/>
    </row>
    <row r="765">
      <c r="D765" s="132"/>
      <c r="F765" s="132"/>
      <c r="L765" s="32"/>
    </row>
    <row r="766">
      <c r="D766" s="132"/>
      <c r="F766" s="132"/>
      <c r="L766" s="32"/>
    </row>
    <row r="767">
      <c r="D767" s="132"/>
      <c r="F767" s="132"/>
      <c r="L767" s="32"/>
    </row>
    <row r="768">
      <c r="D768" s="132"/>
      <c r="F768" s="132"/>
      <c r="L768" s="32"/>
    </row>
    <row r="769">
      <c r="D769" s="132"/>
      <c r="F769" s="132"/>
      <c r="L769" s="32"/>
    </row>
    <row r="770">
      <c r="D770" s="132"/>
      <c r="F770" s="132"/>
      <c r="L770" s="32"/>
    </row>
    <row r="771">
      <c r="D771" s="132"/>
      <c r="F771" s="132"/>
      <c r="L771" s="32"/>
    </row>
    <row r="772">
      <c r="D772" s="132"/>
      <c r="F772" s="132"/>
      <c r="L772" s="32"/>
    </row>
    <row r="773">
      <c r="D773" s="132"/>
      <c r="F773" s="132"/>
      <c r="L773" s="32"/>
    </row>
    <row r="774">
      <c r="D774" s="132"/>
      <c r="F774" s="132"/>
      <c r="L774" s="32"/>
    </row>
    <row r="775">
      <c r="D775" s="132"/>
      <c r="F775" s="132"/>
      <c r="L775" s="32"/>
    </row>
    <row r="776">
      <c r="D776" s="132"/>
      <c r="F776" s="132"/>
      <c r="L776" s="32"/>
    </row>
    <row r="777">
      <c r="D777" s="132"/>
      <c r="F777" s="132"/>
      <c r="L777" s="32"/>
    </row>
    <row r="778">
      <c r="D778" s="132"/>
      <c r="F778" s="132"/>
      <c r="L778" s="32"/>
    </row>
    <row r="779">
      <c r="D779" s="132"/>
      <c r="F779" s="132"/>
      <c r="L779" s="32"/>
    </row>
    <row r="780">
      <c r="D780" s="132"/>
      <c r="F780" s="132"/>
      <c r="L780" s="32"/>
    </row>
    <row r="781">
      <c r="D781" s="132"/>
      <c r="F781" s="132"/>
      <c r="L781" s="32"/>
    </row>
    <row r="782">
      <c r="D782" s="132"/>
      <c r="F782" s="132"/>
      <c r="L782" s="32"/>
    </row>
    <row r="783">
      <c r="D783" s="132"/>
      <c r="F783" s="132"/>
      <c r="L783" s="32"/>
    </row>
    <row r="784">
      <c r="D784" s="132"/>
      <c r="F784" s="132"/>
      <c r="L784" s="32"/>
    </row>
    <row r="785">
      <c r="D785" s="132"/>
      <c r="F785" s="132"/>
      <c r="L785" s="32"/>
    </row>
    <row r="786">
      <c r="D786" s="132"/>
      <c r="F786" s="132"/>
      <c r="L786" s="32"/>
    </row>
    <row r="787">
      <c r="D787" s="132"/>
      <c r="F787" s="132"/>
      <c r="L787" s="32"/>
    </row>
    <row r="788">
      <c r="D788" s="132"/>
      <c r="F788" s="132"/>
      <c r="L788" s="32"/>
    </row>
    <row r="789">
      <c r="D789" s="132"/>
      <c r="F789" s="132"/>
      <c r="L789" s="32"/>
    </row>
    <row r="790">
      <c r="D790" s="132"/>
      <c r="F790" s="132"/>
      <c r="L790" s="32"/>
    </row>
    <row r="791">
      <c r="D791" s="132"/>
      <c r="F791" s="132"/>
      <c r="L791" s="32"/>
    </row>
    <row r="792">
      <c r="D792" s="132"/>
      <c r="F792" s="132"/>
      <c r="L792" s="32"/>
    </row>
    <row r="793">
      <c r="D793" s="132"/>
      <c r="F793" s="132"/>
      <c r="L793" s="32"/>
    </row>
    <row r="794">
      <c r="D794" s="132"/>
      <c r="F794" s="132"/>
      <c r="L794" s="32"/>
    </row>
    <row r="795">
      <c r="D795" s="132"/>
      <c r="F795" s="132"/>
      <c r="L795" s="32"/>
    </row>
    <row r="796">
      <c r="D796" s="132"/>
      <c r="F796" s="132"/>
      <c r="L796" s="32"/>
    </row>
    <row r="797">
      <c r="D797" s="132"/>
      <c r="F797" s="132"/>
      <c r="L797" s="32"/>
    </row>
    <row r="798">
      <c r="D798" s="132"/>
      <c r="F798" s="132"/>
      <c r="L798" s="32"/>
    </row>
    <row r="799">
      <c r="D799" s="132"/>
      <c r="F799" s="132"/>
      <c r="L799" s="32"/>
    </row>
    <row r="800">
      <c r="D800" s="132"/>
      <c r="F800" s="132"/>
      <c r="L800" s="32"/>
    </row>
    <row r="801">
      <c r="D801" s="132"/>
      <c r="F801" s="132"/>
      <c r="L801" s="32"/>
    </row>
    <row r="802">
      <c r="D802" s="132"/>
      <c r="F802" s="132"/>
      <c r="L802" s="32"/>
    </row>
    <row r="803">
      <c r="D803" s="132"/>
      <c r="F803" s="132"/>
      <c r="L803" s="32"/>
    </row>
    <row r="804">
      <c r="D804" s="132"/>
      <c r="F804" s="132"/>
      <c r="L804" s="32"/>
    </row>
    <row r="805">
      <c r="D805" s="132"/>
      <c r="F805" s="132"/>
      <c r="L805" s="32"/>
    </row>
    <row r="806">
      <c r="D806" s="132"/>
      <c r="F806" s="132"/>
      <c r="L806" s="32"/>
    </row>
    <row r="807">
      <c r="D807" s="132"/>
      <c r="F807" s="132"/>
      <c r="L807" s="32"/>
    </row>
    <row r="808">
      <c r="D808" s="132"/>
      <c r="F808" s="132"/>
      <c r="L808" s="32"/>
    </row>
    <row r="809">
      <c r="D809" s="132"/>
      <c r="F809" s="132"/>
      <c r="L809" s="32"/>
    </row>
    <row r="810">
      <c r="D810" s="132"/>
      <c r="F810" s="132"/>
      <c r="L810" s="32"/>
    </row>
    <row r="811">
      <c r="D811" s="132"/>
      <c r="F811" s="132"/>
      <c r="L811" s="32"/>
    </row>
    <row r="812">
      <c r="D812" s="132"/>
      <c r="F812" s="132"/>
      <c r="L812" s="32"/>
    </row>
    <row r="813">
      <c r="D813" s="132"/>
      <c r="F813" s="132"/>
      <c r="L813" s="32"/>
    </row>
    <row r="814">
      <c r="D814" s="132"/>
      <c r="F814" s="132"/>
      <c r="L814" s="32"/>
    </row>
    <row r="815">
      <c r="D815" s="132"/>
      <c r="F815" s="132"/>
      <c r="L815" s="32"/>
    </row>
    <row r="816">
      <c r="D816" s="132"/>
      <c r="F816" s="132"/>
      <c r="L816" s="32"/>
    </row>
    <row r="817">
      <c r="D817" s="132"/>
      <c r="F817" s="132"/>
      <c r="L817" s="32"/>
    </row>
    <row r="818">
      <c r="D818" s="132"/>
      <c r="F818" s="132"/>
      <c r="L818" s="32"/>
    </row>
    <row r="819">
      <c r="D819" s="132"/>
      <c r="F819" s="132"/>
      <c r="L819" s="32"/>
    </row>
    <row r="820">
      <c r="D820" s="132"/>
      <c r="F820" s="132"/>
      <c r="L820" s="32"/>
    </row>
    <row r="821">
      <c r="D821" s="132"/>
      <c r="F821" s="132"/>
      <c r="L821" s="32"/>
    </row>
    <row r="822">
      <c r="D822" s="132"/>
      <c r="F822" s="132"/>
      <c r="L822" s="32"/>
    </row>
    <row r="823">
      <c r="D823" s="132"/>
      <c r="F823" s="132"/>
      <c r="L823" s="32"/>
    </row>
    <row r="824">
      <c r="D824" s="132"/>
      <c r="F824" s="132"/>
      <c r="L824" s="32"/>
    </row>
    <row r="825">
      <c r="D825" s="132"/>
      <c r="F825" s="132"/>
      <c r="L825" s="32"/>
    </row>
    <row r="826">
      <c r="D826" s="132"/>
      <c r="F826" s="132"/>
      <c r="L826" s="32"/>
    </row>
    <row r="827">
      <c r="D827" s="132"/>
      <c r="F827" s="132"/>
      <c r="L827" s="32"/>
    </row>
    <row r="828">
      <c r="D828" s="132"/>
      <c r="F828" s="132"/>
      <c r="L828" s="32"/>
    </row>
    <row r="829">
      <c r="D829" s="132"/>
      <c r="F829" s="132"/>
      <c r="L829" s="32"/>
    </row>
    <row r="830">
      <c r="D830" s="132"/>
      <c r="F830" s="132"/>
      <c r="L830" s="32"/>
    </row>
    <row r="831">
      <c r="D831" s="132"/>
      <c r="F831" s="132"/>
      <c r="L831" s="32"/>
    </row>
    <row r="832">
      <c r="D832" s="132"/>
      <c r="F832" s="132"/>
      <c r="L832" s="32"/>
    </row>
    <row r="833">
      <c r="D833" s="132"/>
      <c r="F833" s="132"/>
      <c r="L833" s="32"/>
    </row>
    <row r="834">
      <c r="D834" s="132"/>
      <c r="F834" s="132"/>
      <c r="L834" s="32"/>
    </row>
    <row r="835">
      <c r="D835" s="132"/>
      <c r="F835" s="132"/>
      <c r="L835" s="32"/>
    </row>
    <row r="836">
      <c r="D836" s="132"/>
      <c r="F836" s="132"/>
      <c r="L836" s="32"/>
    </row>
    <row r="837">
      <c r="D837" s="132"/>
      <c r="F837" s="132"/>
      <c r="L837" s="32"/>
    </row>
    <row r="838">
      <c r="D838" s="132"/>
      <c r="F838" s="132"/>
      <c r="L838" s="32"/>
    </row>
    <row r="839">
      <c r="D839" s="132"/>
      <c r="F839" s="132"/>
      <c r="L839" s="32"/>
    </row>
    <row r="840">
      <c r="D840" s="132"/>
      <c r="F840" s="132"/>
      <c r="L840" s="32"/>
    </row>
    <row r="841">
      <c r="D841" s="132"/>
      <c r="F841" s="132"/>
      <c r="L841" s="32"/>
    </row>
    <row r="842">
      <c r="D842" s="132"/>
      <c r="F842" s="132"/>
      <c r="L842" s="32"/>
    </row>
    <row r="843">
      <c r="D843" s="132"/>
      <c r="F843" s="132"/>
      <c r="L843" s="32"/>
    </row>
    <row r="844">
      <c r="D844" s="132"/>
      <c r="F844" s="132"/>
      <c r="L844" s="32"/>
    </row>
    <row r="845">
      <c r="D845" s="132"/>
      <c r="F845" s="132"/>
      <c r="L845" s="32"/>
    </row>
    <row r="846">
      <c r="D846" s="132"/>
      <c r="F846" s="132"/>
      <c r="L846" s="32"/>
    </row>
    <row r="847">
      <c r="D847" s="132"/>
      <c r="F847" s="132"/>
      <c r="L847" s="32"/>
    </row>
    <row r="848">
      <c r="D848" s="132"/>
      <c r="F848" s="132"/>
      <c r="L848" s="32"/>
    </row>
    <row r="849">
      <c r="D849" s="132"/>
      <c r="F849" s="132"/>
      <c r="L849" s="32"/>
    </row>
    <row r="850">
      <c r="D850" s="132"/>
      <c r="F850" s="132"/>
      <c r="L850" s="32"/>
    </row>
    <row r="851">
      <c r="D851" s="132"/>
      <c r="F851" s="132"/>
      <c r="L851" s="32"/>
    </row>
    <row r="852">
      <c r="D852" s="132"/>
      <c r="F852" s="132"/>
      <c r="L852" s="32"/>
    </row>
    <row r="853">
      <c r="D853" s="132"/>
      <c r="F853" s="132"/>
      <c r="L853" s="32"/>
    </row>
    <row r="854">
      <c r="D854" s="132"/>
      <c r="F854" s="132"/>
      <c r="L854" s="32"/>
    </row>
    <row r="855">
      <c r="D855" s="132"/>
      <c r="F855" s="132"/>
      <c r="L855" s="32"/>
    </row>
    <row r="856">
      <c r="D856" s="132"/>
      <c r="F856" s="132"/>
      <c r="L856" s="32"/>
    </row>
    <row r="857">
      <c r="D857" s="132"/>
      <c r="F857" s="132"/>
      <c r="L857" s="32"/>
    </row>
    <row r="858">
      <c r="D858" s="132"/>
      <c r="F858" s="132"/>
      <c r="L858" s="32"/>
    </row>
    <row r="859">
      <c r="D859" s="132"/>
      <c r="F859" s="132"/>
      <c r="L859" s="32"/>
    </row>
    <row r="860">
      <c r="D860" s="132"/>
      <c r="F860" s="132"/>
      <c r="L860" s="32"/>
    </row>
    <row r="861">
      <c r="D861" s="132"/>
      <c r="F861" s="132"/>
      <c r="L861" s="32"/>
    </row>
    <row r="862">
      <c r="D862" s="132"/>
      <c r="F862" s="132"/>
      <c r="L862" s="32"/>
    </row>
    <row r="863">
      <c r="D863" s="132"/>
      <c r="F863" s="132"/>
      <c r="L863" s="32"/>
    </row>
    <row r="864">
      <c r="D864" s="132"/>
      <c r="F864" s="132"/>
      <c r="L864" s="32"/>
    </row>
    <row r="865">
      <c r="D865" s="132"/>
      <c r="F865" s="132"/>
      <c r="L865" s="32"/>
    </row>
    <row r="866">
      <c r="D866" s="132"/>
      <c r="F866" s="132"/>
      <c r="L866" s="32"/>
    </row>
    <row r="867">
      <c r="D867" s="132"/>
      <c r="F867" s="132"/>
      <c r="L867" s="32"/>
    </row>
    <row r="868">
      <c r="D868" s="132"/>
      <c r="F868" s="132"/>
      <c r="L868" s="32"/>
    </row>
    <row r="869">
      <c r="D869" s="132"/>
      <c r="F869" s="132"/>
      <c r="L869" s="32"/>
    </row>
    <row r="870">
      <c r="D870" s="132"/>
      <c r="F870" s="132"/>
      <c r="L870" s="32"/>
    </row>
    <row r="871">
      <c r="D871" s="132"/>
      <c r="F871" s="132"/>
      <c r="L871" s="32"/>
    </row>
    <row r="872">
      <c r="D872" s="132"/>
      <c r="F872" s="132"/>
      <c r="L872" s="32"/>
    </row>
    <row r="873">
      <c r="D873" s="132"/>
      <c r="F873" s="132"/>
      <c r="L873" s="32"/>
    </row>
    <row r="874">
      <c r="D874" s="132"/>
      <c r="F874" s="132"/>
      <c r="L874" s="32"/>
    </row>
    <row r="875">
      <c r="D875" s="132"/>
      <c r="F875" s="132"/>
      <c r="L875" s="32"/>
    </row>
    <row r="876">
      <c r="D876" s="132"/>
      <c r="F876" s="132"/>
      <c r="L876" s="32"/>
    </row>
    <row r="877">
      <c r="D877" s="132"/>
      <c r="F877" s="132"/>
      <c r="L877" s="32"/>
    </row>
    <row r="878">
      <c r="D878" s="132"/>
      <c r="F878" s="132"/>
      <c r="L878" s="32"/>
    </row>
    <row r="879">
      <c r="D879" s="132"/>
      <c r="F879" s="132"/>
      <c r="L879" s="32"/>
    </row>
    <row r="880">
      <c r="D880" s="132"/>
      <c r="F880" s="132"/>
      <c r="L880" s="32"/>
    </row>
    <row r="881">
      <c r="D881" s="132"/>
      <c r="F881" s="132"/>
      <c r="L881" s="32"/>
    </row>
    <row r="882">
      <c r="D882" s="132"/>
      <c r="F882" s="132"/>
      <c r="L882" s="32"/>
    </row>
    <row r="883">
      <c r="D883" s="132"/>
      <c r="F883" s="132"/>
      <c r="L883" s="32"/>
    </row>
    <row r="884">
      <c r="D884" s="132"/>
      <c r="F884" s="132"/>
      <c r="L884" s="32"/>
    </row>
    <row r="885">
      <c r="D885" s="132"/>
      <c r="F885" s="132"/>
      <c r="L885" s="32"/>
    </row>
    <row r="886">
      <c r="D886" s="132"/>
      <c r="F886" s="132"/>
      <c r="L886" s="32"/>
    </row>
    <row r="887">
      <c r="D887" s="132"/>
      <c r="F887" s="132"/>
      <c r="L887" s="32"/>
    </row>
    <row r="888">
      <c r="D888" s="132"/>
      <c r="F888" s="132"/>
      <c r="L888" s="32"/>
    </row>
    <row r="889">
      <c r="D889" s="132"/>
      <c r="F889" s="132"/>
      <c r="L889" s="32"/>
    </row>
    <row r="890">
      <c r="D890" s="132"/>
      <c r="F890" s="132"/>
      <c r="L890" s="32"/>
    </row>
    <row r="891">
      <c r="D891" s="132"/>
      <c r="F891" s="132"/>
      <c r="L891" s="32"/>
    </row>
    <row r="892">
      <c r="D892" s="132"/>
      <c r="F892" s="132"/>
      <c r="L892" s="32"/>
    </row>
    <row r="893">
      <c r="D893" s="132"/>
      <c r="F893" s="132"/>
      <c r="L893" s="32"/>
    </row>
    <row r="894">
      <c r="D894" s="132"/>
      <c r="F894" s="132"/>
      <c r="L894" s="32"/>
    </row>
    <row r="895">
      <c r="D895" s="132"/>
      <c r="F895" s="132"/>
      <c r="L895" s="32"/>
    </row>
    <row r="896">
      <c r="D896" s="132"/>
      <c r="F896" s="132"/>
      <c r="L896" s="32"/>
    </row>
    <row r="897">
      <c r="D897" s="132"/>
      <c r="F897" s="132"/>
      <c r="L897" s="32"/>
    </row>
    <row r="898">
      <c r="D898" s="132"/>
      <c r="F898" s="132"/>
      <c r="L898" s="32"/>
    </row>
    <row r="899">
      <c r="D899" s="132"/>
      <c r="F899" s="132"/>
      <c r="L899" s="32"/>
    </row>
    <row r="900">
      <c r="D900" s="132"/>
      <c r="F900" s="132"/>
      <c r="L900" s="32"/>
    </row>
    <row r="901">
      <c r="D901" s="132"/>
      <c r="F901" s="132"/>
      <c r="L901" s="32"/>
    </row>
    <row r="902">
      <c r="D902" s="132"/>
      <c r="F902" s="132"/>
      <c r="L902" s="32"/>
    </row>
    <row r="903">
      <c r="D903" s="132"/>
      <c r="F903" s="132"/>
      <c r="L903" s="32"/>
    </row>
    <row r="904">
      <c r="D904" s="132"/>
      <c r="F904" s="132"/>
      <c r="L904" s="32"/>
    </row>
    <row r="905">
      <c r="D905" s="132"/>
      <c r="F905" s="132"/>
      <c r="L905" s="32"/>
    </row>
    <row r="906">
      <c r="D906" s="132"/>
      <c r="F906" s="132"/>
      <c r="L906" s="32"/>
    </row>
    <row r="907">
      <c r="D907" s="132"/>
      <c r="F907" s="132"/>
      <c r="L907" s="32"/>
    </row>
    <row r="908">
      <c r="D908" s="132"/>
      <c r="F908" s="132"/>
      <c r="L908" s="32"/>
    </row>
    <row r="909">
      <c r="D909" s="132"/>
      <c r="F909" s="132"/>
      <c r="L909" s="32"/>
    </row>
    <row r="910">
      <c r="D910" s="132"/>
      <c r="F910" s="132"/>
      <c r="L910" s="32"/>
    </row>
    <row r="911">
      <c r="D911" s="132"/>
      <c r="F911" s="132"/>
      <c r="L911" s="32"/>
    </row>
    <row r="912">
      <c r="D912" s="132"/>
      <c r="F912" s="132"/>
      <c r="L912" s="32"/>
    </row>
    <row r="913">
      <c r="D913" s="132"/>
      <c r="F913" s="132"/>
      <c r="L913" s="32"/>
    </row>
    <row r="914">
      <c r="D914" s="132"/>
      <c r="F914" s="132"/>
      <c r="L914" s="32"/>
    </row>
    <row r="915">
      <c r="D915" s="132"/>
      <c r="F915" s="132"/>
      <c r="L915" s="32"/>
    </row>
    <row r="916">
      <c r="D916" s="132"/>
      <c r="F916" s="132"/>
      <c r="L916" s="32"/>
    </row>
    <row r="917">
      <c r="D917" s="132"/>
      <c r="F917" s="132"/>
      <c r="L917" s="32"/>
    </row>
    <row r="918">
      <c r="D918" s="132"/>
      <c r="F918" s="132"/>
      <c r="L918" s="32"/>
    </row>
    <row r="919">
      <c r="D919" s="132"/>
      <c r="F919" s="132"/>
      <c r="L919" s="32"/>
    </row>
    <row r="920">
      <c r="D920" s="132"/>
      <c r="F920" s="132"/>
      <c r="L920" s="32"/>
    </row>
    <row r="921">
      <c r="D921" s="132"/>
      <c r="F921" s="132"/>
      <c r="L921" s="32"/>
    </row>
    <row r="922">
      <c r="D922" s="132"/>
      <c r="F922" s="132"/>
      <c r="L922" s="32"/>
    </row>
    <row r="923">
      <c r="D923" s="132"/>
      <c r="F923" s="132"/>
      <c r="L923" s="32"/>
    </row>
    <row r="924">
      <c r="D924" s="132"/>
      <c r="F924" s="132"/>
      <c r="L924" s="32"/>
    </row>
    <row r="925">
      <c r="D925" s="132"/>
      <c r="F925" s="132"/>
      <c r="L925" s="32"/>
    </row>
    <row r="926">
      <c r="D926" s="132"/>
      <c r="F926" s="132"/>
      <c r="L926" s="32"/>
    </row>
    <row r="927">
      <c r="D927" s="132"/>
      <c r="F927" s="132"/>
      <c r="L927" s="32"/>
    </row>
    <row r="928">
      <c r="D928" s="132"/>
      <c r="F928" s="132"/>
      <c r="L928" s="32"/>
    </row>
    <row r="929">
      <c r="D929" s="132"/>
      <c r="F929" s="132"/>
      <c r="L929" s="32"/>
    </row>
    <row r="930">
      <c r="D930" s="132"/>
      <c r="F930" s="132"/>
      <c r="L930" s="32"/>
    </row>
    <row r="931">
      <c r="D931" s="132"/>
      <c r="F931" s="132"/>
      <c r="L931" s="32"/>
    </row>
    <row r="932">
      <c r="D932" s="132"/>
      <c r="F932" s="132"/>
      <c r="L932" s="32"/>
    </row>
    <row r="933">
      <c r="D933" s="132"/>
      <c r="F933" s="132"/>
      <c r="L933" s="32"/>
    </row>
    <row r="934">
      <c r="D934" s="132"/>
      <c r="F934" s="132"/>
      <c r="L934" s="32"/>
    </row>
    <row r="935">
      <c r="D935" s="132"/>
      <c r="F935" s="132"/>
      <c r="L935" s="32"/>
    </row>
    <row r="936">
      <c r="D936" s="132"/>
      <c r="F936" s="132"/>
      <c r="L936" s="32"/>
    </row>
    <row r="937">
      <c r="D937" s="132"/>
      <c r="F937" s="132"/>
      <c r="L937" s="32"/>
    </row>
    <row r="938">
      <c r="D938" s="132"/>
      <c r="F938" s="132"/>
      <c r="L938" s="32"/>
    </row>
    <row r="939">
      <c r="D939" s="132"/>
      <c r="F939" s="132"/>
      <c r="L939" s="32"/>
    </row>
    <row r="940">
      <c r="D940" s="132"/>
      <c r="F940" s="132"/>
      <c r="L940" s="32"/>
    </row>
    <row r="941">
      <c r="D941" s="132"/>
      <c r="F941" s="132"/>
      <c r="L941" s="32"/>
    </row>
    <row r="942">
      <c r="D942" s="132"/>
      <c r="F942" s="132"/>
      <c r="L942" s="32"/>
    </row>
    <row r="943">
      <c r="D943" s="132"/>
      <c r="F943" s="132"/>
      <c r="L943" s="32"/>
    </row>
    <row r="944">
      <c r="D944" s="132"/>
      <c r="F944" s="132"/>
      <c r="L944" s="32"/>
    </row>
    <row r="945">
      <c r="D945" s="132"/>
      <c r="F945" s="132"/>
      <c r="L945" s="32"/>
    </row>
    <row r="946">
      <c r="D946" s="132"/>
      <c r="F946" s="132"/>
      <c r="L946" s="32"/>
    </row>
    <row r="947">
      <c r="D947" s="132"/>
      <c r="F947" s="132"/>
      <c r="L947" s="32"/>
    </row>
    <row r="948">
      <c r="D948" s="132"/>
      <c r="F948" s="132"/>
      <c r="L948" s="32"/>
    </row>
    <row r="949">
      <c r="D949" s="132"/>
      <c r="F949" s="132"/>
      <c r="L949" s="32"/>
    </row>
    <row r="950">
      <c r="D950" s="132"/>
      <c r="F950" s="132"/>
      <c r="L950" s="32"/>
    </row>
    <row r="951">
      <c r="D951" s="132"/>
      <c r="F951" s="132"/>
      <c r="L951" s="32"/>
    </row>
    <row r="952">
      <c r="D952" s="132"/>
      <c r="F952" s="132"/>
      <c r="L952" s="32"/>
    </row>
    <row r="953">
      <c r="D953" s="132"/>
      <c r="F953" s="132"/>
      <c r="L953" s="32"/>
    </row>
    <row r="954">
      <c r="D954" s="132"/>
      <c r="F954" s="132"/>
      <c r="L954" s="32"/>
    </row>
    <row r="955">
      <c r="D955" s="132"/>
      <c r="F955" s="132"/>
      <c r="L955" s="32"/>
    </row>
    <row r="956">
      <c r="D956" s="132"/>
      <c r="F956" s="132"/>
      <c r="L956" s="32"/>
    </row>
    <row r="957">
      <c r="D957" s="132"/>
      <c r="F957" s="132"/>
      <c r="L957" s="32"/>
    </row>
    <row r="958">
      <c r="D958" s="132"/>
      <c r="F958" s="132"/>
      <c r="L958" s="32"/>
    </row>
    <row r="959">
      <c r="D959" s="132"/>
      <c r="F959" s="132"/>
      <c r="L959" s="32"/>
    </row>
    <row r="960">
      <c r="D960" s="132"/>
      <c r="F960" s="132"/>
      <c r="L960" s="32"/>
    </row>
    <row r="961">
      <c r="D961" s="132"/>
      <c r="F961" s="132"/>
      <c r="L961" s="32"/>
    </row>
    <row r="962">
      <c r="D962" s="132"/>
      <c r="F962" s="132"/>
      <c r="L962" s="32"/>
    </row>
    <row r="963">
      <c r="D963" s="132"/>
      <c r="F963" s="132"/>
      <c r="L963" s="32"/>
    </row>
    <row r="964">
      <c r="D964" s="132"/>
      <c r="F964" s="132"/>
      <c r="L964" s="32"/>
    </row>
    <row r="965">
      <c r="D965" s="132"/>
      <c r="F965" s="132"/>
      <c r="L965" s="32"/>
    </row>
    <row r="966">
      <c r="D966" s="132"/>
      <c r="F966" s="132"/>
      <c r="L966" s="32"/>
    </row>
    <row r="967">
      <c r="D967" s="132"/>
      <c r="F967" s="132"/>
      <c r="L967" s="32"/>
    </row>
    <row r="968">
      <c r="D968" s="132"/>
      <c r="F968" s="132"/>
      <c r="L968" s="32"/>
    </row>
    <row r="969">
      <c r="D969" s="132"/>
      <c r="F969" s="132"/>
      <c r="L969" s="32"/>
    </row>
    <row r="970">
      <c r="D970" s="132"/>
      <c r="F970" s="132"/>
      <c r="L970" s="32"/>
    </row>
    <row r="971">
      <c r="D971" s="132"/>
      <c r="F971" s="132"/>
      <c r="L971" s="32"/>
    </row>
    <row r="972">
      <c r="D972" s="132"/>
      <c r="F972" s="132"/>
      <c r="L972" s="32"/>
    </row>
    <row r="973">
      <c r="D973" s="132"/>
      <c r="F973" s="132"/>
      <c r="L973" s="32"/>
    </row>
    <row r="974">
      <c r="D974" s="132"/>
      <c r="F974" s="132"/>
      <c r="L974" s="32"/>
    </row>
    <row r="975">
      <c r="D975" s="132"/>
      <c r="F975" s="132"/>
      <c r="L975" s="32"/>
    </row>
    <row r="976">
      <c r="D976" s="132"/>
      <c r="F976" s="132"/>
      <c r="L976" s="32"/>
    </row>
    <row r="977">
      <c r="D977" s="132"/>
      <c r="F977" s="132"/>
      <c r="L977" s="32"/>
    </row>
    <row r="978">
      <c r="D978" s="132"/>
      <c r="F978" s="132"/>
      <c r="L978" s="32"/>
    </row>
    <row r="979">
      <c r="D979" s="132"/>
      <c r="F979" s="132"/>
      <c r="L979" s="32"/>
    </row>
    <row r="980">
      <c r="D980" s="132"/>
      <c r="F980" s="132"/>
      <c r="L980" s="32"/>
    </row>
    <row r="981">
      <c r="D981" s="132"/>
      <c r="F981" s="132"/>
      <c r="L981" s="32"/>
    </row>
    <row r="982">
      <c r="D982" s="132"/>
      <c r="F982" s="132"/>
      <c r="L982" s="32"/>
    </row>
    <row r="983">
      <c r="D983" s="132"/>
      <c r="F983" s="132"/>
      <c r="L983" s="32"/>
    </row>
    <row r="984">
      <c r="D984" s="132"/>
      <c r="F984" s="132"/>
      <c r="L984" s="32"/>
    </row>
    <row r="985">
      <c r="D985" s="132"/>
      <c r="F985" s="132"/>
      <c r="L985" s="32"/>
    </row>
    <row r="986">
      <c r="D986" s="132"/>
      <c r="F986" s="132"/>
      <c r="L986" s="32"/>
    </row>
    <row r="987">
      <c r="D987" s="132"/>
      <c r="F987" s="132"/>
      <c r="L987" s="32"/>
    </row>
    <row r="988">
      <c r="D988" s="132"/>
      <c r="F988" s="132"/>
      <c r="L988" s="32"/>
    </row>
    <row r="989">
      <c r="D989" s="132"/>
      <c r="F989" s="132"/>
      <c r="L989" s="32"/>
    </row>
    <row r="990">
      <c r="D990" s="132"/>
      <c r="F990" s="132"/>
      <c r="L990" s="32"/>
    </row>
    <row r="991">
      <c r="D991" s="132"/>
      <c r="F991" s="132"/>
      <c r="L991" s="32"/>
    </row>
    <row r="992">
      <c r="D992" s="132"/>
      <c r="F992" s="132"/>
      <c r="L992" s="32"/>
    </row>
    <row r="993">
      <c r="D993" s="132"/>
      <c r="F993" s="132"/>
      <c r="L993" s="32"/>
    </row>
    <row r="994">
      <c r="D994" s="132"/>
      <c r="F994" s="132"/>
      <c r="L994" s="32"/>
    </row>
    <row r="995">
      <c r="D995" s="132"/>
      <c r="F995" s="132"/>
      <c r="L995" s="32"/>
    </row>
    <row r="996">
      <c r="D996" s="132"/>
      <c r="F996" s="132"/>
      <c r="L996" s="32"/>
    </row>
    <row r="997">
      <c r="D997" s="132"/>
      <c r="F997" s="132"/>
      <c r="L997" s="32"/>
    </row>
    <row r="998">
      <c r="D998" s="132"/>
      <c r="F998" s="132"/>
      <c r="L998" s="32"/>
    </row>
    <row r="999">
      <c r="D999" s="132"/>
      <c r="F999" s="132"/>
      <c r="L999" s="32"/>
    </row>
    <row r="1000">
      <c r="D1000" s="132"/>
      <c r="F1000" s="132"/>
      <c r="L1000" s="32"/>
    </row>
  </sheetData>
  <mergeCells count="3">
    <mergeCell ref="A2:A3"/>
    <mergeCell ref="I9:K9"/>
    <mergeCell ref="I18:K1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 t="s">
        <v>16</v>
      </c>
      <c r="B1" s="78" t="s">
        <v>17</v>
      </c>
    </row>
    <row r="2">
      <c r="A2" s="100" t="s">
        <v>139</v>
      </c>
      <c r="B2" s="100" t="s">
        <v>140</v>
      </c>
    </row>
    <row r="3">
      <c r="A3" s="100" t="s">
        <v>141</v>
      </c>
      <c r="B3" s="100" t="s">
        <v>142</v>
      </c>
    </row>
    <row r="4">
      <c r="A4" s="100" t="s">
        <v>143</v>
      </c>
      <c r="B4" s="100" t="s">
        <v>144</v>
      </c>
    </row>
    <row r="5">
      <c r="A5" s="100" t="s">
        <v>145</v>
      </c>
      <c r="B5" s="100" t="s">
        <v>146</v>
      </c>
    </row>
    <row r="6">
      <c r="A6" s="100" t="s">
        <v>147</v>
      </c>
      <c r="B6" s="100" t="s">
        <v>148</v>
      </c>
    </row>
    <row r="7">
      <c r="A7" s="100" t="s">
        <v>149</v>
      </c>
      <c r="B7" s="100" t="s">
        <v>150</v>
      </c>
    </row>
    <row r="8">
      <c r="A8" s="100" t="s">
        <v>151</v>
      </c>
      <c r="B8" s="100" t="s">
        <v>152</v>
      </c>
    </row>
    <row r="9">
      <c r="A9" s="100" t="s">
        <v>154</v>
      </c>
      <c r="B9" s="100" t="s">
        <v>155</v>
      </c>
    </row>
    <row r="10">
      <c r="A10" s="100" t="s">
        <v>156</v>
      </c>
      <c r="B10" s="100" t="s">
        <v>157</v>
      </c>
    </row>
    <row r="11">
      <c r="A11" s="100" t="s">
        <v>158</v>
      </c>
      <c r="B11" s="100" t="s">
        <v>159</v>
      </c>
    </row>
    <row r="12">
      <c r="A12" s="100" t="s">
        <v>160</v>
      </c>
      <c r="B12" s="100" t="s">
        <v>161</v>
      </c>
    </row>
    <row r="13">
      <c r="A13" s="100" t="s">
        <v>162</v>
      </c>
      <c r="B13" s="100" t="s">
        <v>163</v>
      </c>
    </row>
    <row r="14">
      <c r="A14" s="100" t="s">
        <v>164</v>
      </c>
      <c r="B14" s="100" t="s">
        <v>165</v>
      </c>
    </row>
    <row r="15">
      <c r="A15" s="100" t="s">
        <v>166</v>
      </c>
      <c r="B15" s="100" t="s">
        <v>167</v>
      </c>
    </row>
    <row r="16">
      <c r="A16" s="100" t="s">
        <v>168</v>
      </c>
      <c r="B16" s="100" t="s">
        <v>169</v>
      </c>
    </row>
    <row r="17">
      <c r="A17" s="100" t="s">
        <v>170</v>
      </c>
      <c r="B17" s="100" t="s">
        <v>171</v>
      </c>
    </row>
    <row r="18">
      <c r="A18" s="100" t="s">
        <v>173</v>
      </c>
      <c r="B18" s="100" t="s">
        <v>174</v>
      </c>
    </row>
    <row r="19">
      <c r="A19" s="100" t="s">
        <v>175</v>
      </c>
      <c r="B19" s="100" t="s">
        <v>176</v>
      </c>
    </row>
    <row r="20">
      <c r="A20" s="100" t="s">
        <v>177</v>
      </c>
      <c r="B20" s="100" t="s">
        <v>178</v>
      </c>
    </row>
    <row r="21">
      <c r="A21" s="100" t="s">
        <v>179</v>
      </c>
      <c r="B21" s="100" t="s">
        <v>180</v>
      </c>
    </row>
    <row r="22">
      <c r="A22" s="100" t="s">
        <v>181</v>
      </c>
      <c r="B22" s="100" t="s">
        <v>182</v>
      </c>
    </row>
    <row r="23">
      <c r="A23" s="100" t="s">
        <v>183</v>
      </c>
      <c r="B23" s="100" t="s">
        <v>184</v>
      </c>
    </row>
    <row r="24">
      <c r="A24" s="100" t="s">
        <v>185</v>
      </c>
      <c r="B24" s="100" t="s">
        <v>186</v>
      </c>
    </row>
    <row r="25">
      <c r="A25" s="100" t="s">
        <v>187</v>
      </c>
      <c r="B25" s="100" t="s">
        <v>188</v>
      </c>
    </row>
    <row r="26">
      <c r="A26" s="100" t="s">
        <v>189</v>
      </c>
      <c r="B26" s="100" t="s">
        <v>190</v>
      </c>
    </row>
    <row r="27">
      <c r="A27" s="100" t="s">
        <v>191</v>
      </c>
      <c r="B27" s="100" t="s">
        <v>192</v>
      </c>
    </row>
    <row r="28">
      <c r="A28" s="100" t="s">
        <v>193</v>
      </c>
      <c r="B28" s="100" t="s">
        <v>194</v>
      </c>
    </row>
    <row r="29">
      <c r="A29" s="100" t="s">
        <v>195</v>
      </c>
      <c r="B29" s="100" t="s">
        <v>196</v>
      </c>
    </row>
    <row r="30">
      <c r="A30" s="100" t="s">
        <v>197</v>
      </c>
      <c r="B30" s="100" t="s">
        <v>198</v>
      </c>
    </row>
    <row r="31">
      <c r="A31" s="100" t="s">
        <v>199</v>
      </c>
      <c r="B31" s="100" t="s">
        <v>200</v>
      </c>
    </row>
    <row r="32">
      <c r="A32" s="100" t="s">
        <v>201</v>
      </c>
      <c r="B32" s="100" t="s">
        <v>202</v>
      </c>
    </row>
    <row r="33">
      <c r="A33" s="100" t="s">
        <v>203</v>
      </c>
      <c r="B33" s="100" t="s">
        <v>204</v>
      </c>
    </row>
    <row r="34">
      <c r="A34" s="100" t="s">
        <v>205</v>
      </c>
      <c r="B34" s="100" t="s">
        <v>150</v>
      </c>
    </row>
    <row r="35">
      <c r="A35" s="100" t="s">
        <v>206</v>
      </c>
      <c r="B35" s="100" t="s">
        <v>207</v>
      </c>
    </row>
    <row r="36">
      <c r="A36" s="100" t="s">
        <v>208</v>
      </c>
      <c r="B36" s="100" t="s">
        <v>209</v>
      </c>
    </row>
    <row r="37">
      <c r="A37" s="100" t="s">
        <v>210</v>
      </c>
      <c r="B37" s="100" t="s">
        <v>211</v>
      </c>
    </row>
    <row r="38">
      <c r="A38" s="100" t="s">
        <v>212</v>
      </c>
      <c r="B38" s="100" t="s">
        <v>213</v>
      </c>
    </row>
    <row r="39">
      <c r="A39" s="100" t="s">
        <v>214</v>
      </c>
      <c r="B39" s="100" t="s">
        <v>215</v>
      </c>
    </row>
    <row r="40">
      <c r="A40" s="100" t="s">
        <v>181</v>
      </c>
      <c r="B40" s="100" t="s">
        <v>216</v>
      </c>
    </row>
    <row r="41">
      <c r="A41" s="100" t="s">
        <v>217</v>
      </c>
      <c r="B41" s="100" t="s">
        <v>218</v>
      </c>
    </row>
    <row r="42">
      <c r="A42" s="100" t="s">
        <v>219</v>
      </c>
      <c r="B42" s="100" t="s">
        <v>220</v>
      </c>
    </row>
    <row r="43">
      <c r="A43" s="100" t="s">
        <v>221</v>
      </c>
      <c r="B43" s="100" t="s">
        <v>222</v>
      </c>
    </row>
    <row r="44">
      <c r="A44" s="100" t="s">
        <v>233</v>
      </c>
      <c r="B44" s="100" t="s">
        <v>224</v>
      </c>
    </row>
    <row r="45">
      <c r="A45" s="100" t="s">
        <v>223</v>
      </c>
      <c r="B45" s="100" t="s">
        <v>225</v>
      </c>
    </row>
    <row r="46">
      <c r="A46" s="100" t="s">
        <v>185</v>
      </c>
      <c r="B46" s="100" t="s">
        <v>227</v>
      </c>
    </row>
    <row r="47">
      <c r="A47" s="100" t="s">
        <v>226</v>
      </c>
      <c r="B47" s="100" t="s">
        <v>229</v>
      </c>
    </row>
    <row r="48">
      <c r="A48" s="100" t="s">
        <v>228</v>
      </c>
      <c r="B48" s="100" t="s">
        <v>231</v>
      </c>
    </row>
    <row r="49">
      <c r="A49" s="100" t="s">
        <v>230</v>
      </c>
      <c r="B49" s="100" t="s">
        <v>232</v>
      </c>
    </row>
  </sheetData>
  <drawing r:id="rId1"/>
</worksheet>
</file>